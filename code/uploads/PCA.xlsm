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sh\Downloads\"/>
    </mc:Choice>
  </mc:AlternateContent>
  <xr:revisionPtr revIDLastSave="0" documentId="13_ncr:1_{11FD23B6-DEE3-4177-98E8-914251D64085}" xr6:coauthVersionLast="47" xr6:coauthVersionMax="47" xr10:uidLastSave="{00000000-0000-0000-0000-000000000000}"/>
  <bookViews>
    <workbookView xWindow="828" yWindow="-108" windowWidth="22320" windowHeight="13176" activeTab="1" xr2:uid="{E55D7E24-64CF-4650-B3F7-386C8118D452}"/>
  </bookViews>
  <sheets>
    <sheet name="Sheet1" sheetId="1" r:id="rId1"/>
    <sheet name="PCA1" sheetId="8" r:id="rId2"/>
    <sheet name="XLSTAT_20240405_134419_1_HID3" sheetId="12" state="hidden" r:id="rId3"/>
    <sheet name="XLSTAT_20240405_134419_1_HID2" sheetId="11" state="hidden" r:id="rId4"/>
    <sheet name="XLSTAT_20240405_134419_1_HID1" sheetId="10" state="hidden" r:id="rId5"/>
    <sheet name="XLSTAT_20240405_134419_1_HID" sheetId="9" state="hidden" r:id="rId6"/>
    <sheet name="Sheet2" sheetId="7" r:id="rId7"/>
    <sheet name="PCA" sheetId="2" r:id="rId8"/>
    <sheet name="XLSTAT_20240328_054226_1_HID3" sheetId="6" state="hidden" r:id="rId9"/>
    <sheet name="XLSTAT_20240328_054226_1_HID2" sheetId="5" state="hidden" r:id="rId10"/>
    <sheet name="XLSTAT_20240328_054226_1_HID1" sheetId="4" state="hidden" r:id="rId11"/>
    <sheet name="XLSTAT_20240328_054226_1_HID" sheetId="3" state="hidden" r:id="rId12"/>
  </sheets>
  <externalReferences>
    <externalReference r:id="rId13"/>
  </externalReferences>
  <definedNames>
    <definedName name="tab20240328_054226_RunProcPCA_1_2982" localSheetId="7" hidden="1">PCA!$B$207:$G$230</definedName>
    <definedName name="tab20240328_054226_RunProcPCA_1_2983" localSheetId="7" hidden="1">PCA!$B$411:$G$510</definedName>
    <definedName name="tab20240328_054226_RunProcPCA_1_2984" localSheetId="7" hidden="1">PCA!$B$235:$G$258</definedName>
    <definedName name="tab20240328_054226_RunProcPCA_1_75" localSheetId="7" hidden="1">PCA!$B$131:$G$154</definedName>
    <definedName name="tab20240328_054226_RunProcPCA_1_76" localSheetId="7" hidden="1">PCA!$B$264:$G$363</definedName>
    <definedName name="tab20240328_054226_RunProcPCA_1_86" localSheetId="7" hidden="1">PCA!$B$159:$G$182</definedName>
    <definedName name="tab20240328_054226_RunProcPCA_2_76" localSheetId="7" hidden="1">PCA!$B$545:$G$644</definedName>
    <definedName name="tab20240405_134419_RunProcPCA_1_2982" localSheetId="1" hidden="1">'PCA1'!$B$178:$G$201</definedName>
    <definedName name="tab20240405_134419_RunProcPCA_1_2983" localSheetId="1" hidden="1">'PCA1'!$B$382:$G$481</definedName>
    <definedName name="tab20240405_134419_RunProcPCA_1_2984" localSheetId="1" hidden="1">'PCA1'!$B$206:$G$229</definedName>
    <definedName name="tab20240405_134419_RunProcPCA_1_75" localSheetId="1" hidden="1">'PCA1'!$B$102:$G$125</definedName>
    <definedName name="tab20240405_134419_RunProcPCA_1_76" localSheetId="1" hidden="1">'PCA1'!$B$235:$G$334</definedName>
    <definedName name="tab20240405_134419_RunProcPCA_1_86" localSheetId="1" hidden="1">'PCA1'!$B$130:$G$153</definedName>
    <definedName name="tab20240405_134419_RunProcPCA_2_76" localSheetId="1" hidden="1">'PCA1'!$B$516:$G$615</definedName>
    <definedName name="xcirclez1" localSheetId="10" hidden="1">XLSTAT_20240328_054226_1_HID1!$C$1:$C$500</definedName>
    <definedName name="xcirclez1" localSheetId="4" hidden="1">XLSTAT_20240405_134419_1_HID1!$C$1:$C$500</definedName>
    <definedName name="ycirclez1" localSheetId="10" hidden="1">XLSTAT_20240328_054226_1_HID1!$D$1:$D$500</definedName>
    <definedName name="ycirclez1" localSheetId="4" hidden="1">XLSTAT_20240405_134419_1_HID1!$D$1:$D$500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0" l="1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C1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B1" i="10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D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C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B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</calcChain>
</file>

<file path=xl/sharedStrings.xml><?xml version="1.0" encoding="utf-8"?>
<sst xmlns="http://schemas.openxmlformats.org/spreadsheetml/2006/main" count="1556" uniqueCount="390">
  <si>
    <t>ID</t>
  </si>
  <si>
    <t>FoodGroup</t>
  </si>
  <si>
    <t>ShortDescrip</t>
  </si>
  <si>
    <t>Descrip</t>
  </si>
  <si>
    <t>Energy_kcal</t>
  </si>
  <si>
    <t>Protein_g</t>
  </si>
  <si>
    <t>Fat_g</t>
  </si>
  <si>
    <t>Carb_g</t>
  </si>
  <si>
    <t>Sugar_g</t>
  </si>
  <si>
    <t>Fiber_g</t>
  </si>
  <si>
    <t>VitA_mcg</t>
  </si>
  <si>
    <t>VitB6_mg</t>
  </si>
  <si>
    <t>VitB12_mcg</t>
  </si>
  <si>
    <t>VitC_mg</t>
  </si>
  <si>
    <t>VitE_mg</t>
  </si>
  <si>
    <t>Folate_mcg</t>
  </si>
  <si>
    <t>Niacin_mg</t>
  </si>
  <si>
    <t>Riboflavin_mg</t>
  </si>
  <si>
    <t>Thiamin_mg</t>
  </si>
  <si>
    <t>Calcium_mg</t>
  </si>
  <si>
    <t>Copper_mcg</t>
  </si>
  <si>
    <t>Iron_mg</t>
  </si>
  <si>
    <t>Magnesium_mg</t>
  </si>
  <si>
    <t>Manganese_mg</t>
  </si>
  <si>
    <t>Phosphorus_mg</t>
  </si>
  <si>
    <t>Selenium_mcg</t>
  </si>
  <si>
    <t>Zinc_mg</t>
  </si>
  <si>
    <t>01001</t>
  </si>
  <si>
    <t>Dairy and Egg Products</t>
  </si>
  <si>
    <t>BUTTER,WITH SALT</t>
  </si>
  <si>
    <t>Butter, salted</t>
  </si>
  <si>
    <t>01002</t>
  </si>
  <si>
    <t>BUTTER,WHIPPED,WITH SALT</t>
  </si>
  <si>
    <t>Butter, whipped, with salt</t>
  </si>
  <si>
    <t>01003</t>
  </si>
  <si>
    <t>BUTTER OIL,ANHYDROUS</t>
  </si>
  <si>
    <t>Butter oil, anhydrous</t>
  </si>
  <si>
    <t>01004</t>
  </si>
  <si>
    <t>CHEESE,BLUE</t>
  </si>
  <si>
    <t>Cheese, blue</t>
  </si>
  <si>
    <t>01005</t>
  </si>
  <si>
    <t>CHEESE,BRICK</t>
  </si>
  <si>
    <t>Cheese, brick</t>
  </si>
  <si>
    <t>01006</t>
  </si>
  <si>
    <t>CHEESE,BRIE</t>
  </si>
  <si>
    <t>Cheese, brie</t>
  </si>
  <si>
    <t>01007</t>
  </si>
  <si>
    <t>CHEESE,CAMEMBERT</t>
  </si>
  <si>
    <t>Cheese, camembert</t>
  </si>
  <si>
    <t>01008</t>
  </si>
  <si>
    <t>CHEESE,CARAWAY</t>
  </si>
  <si>
    <t>Cheese, caraway</t>
  </si>
  <si>
    <t>01009</t>
  </si>
  <si>
    <t>CHEESE,CHEDDAR</t>
  </si>
  <si>
    <t>Cheese, cheddar</t>
  </si>
  <si>
    <t>01010</t>
  </si>
  <si>
    <t>CHEESE,CHESHIRE</t>
  </si>
  <si>
    <t>Cheese, cheshire</t>
  </si>
  <si>
    <t>01011</t>
  </si>
  <si>
    <t>CHEESE,COLBY</t>
  </si>
  <si>
    <t>Cheese, colby</t>
  </si>
  <si>
    <t>01012</t>
  </si>
  <si>
    <t>CHEESE,COTTAGE,CRMD,LRG OR SML CURD</t>
  </si>
  <si>
    <t>Cheese, cottage, creamed, large or small curd</t>
  </si>
  <si>
    <t>01013</t>
  </si>
  <si>
    <t>CHEESE,COTTAGE,CRMD,W/FRUIT</t>
  </si>
  <si>
    <t>Cheese, cottage, creamed, with fruit</t>
  </si>
  <si>
    <t>01014</t>
  </si>
  <si>
    <t>CHEESE,COTTAGE,NONFAT,UNCRMD,DRY,LRG OR SML CURD</t>
  </si>
  <si>
    <t>Cheese, cottage, nonfat, uncreamed, dry, large or small curd</t>
  </si>
  <si>
    <t>01015</t>
  </si>
  <si>
    <t>CHEESE,COTTAGE,LOWFAT,2% MILKFAT</t>
  </si>
  <si>
    <t>Cheese, cottage, lowfat, 2% milkfat</t>
  </si>
  <si>
    <t>01016</t>
  </si>
  <si>
    <t>CHEESE,COTTAGE,LOWFAT,1% MILKFAT</t>
  </si>
  <si>
    <t>Cheese, cottage, lowfat, 1% milkfat</t>
  </si>
  <si>
    <t>01017</t>
  </si>
  <si>
    <t>CHEESE,CREAM</t>
  </si>
  <si>
    <t>Cheese, cream</t>
  </si>
  <si>
    <t>01018</t>
  </si>
  <si>
    <t>CHEESE,EDAM</t>
  </si>
  <si>
    <t>Cheese, edam</t>
  </si>
  <si>
    <t>01019</t>
  </si>
  <si>
    <t>CHEESE,FETA</t>
  </si>
  <si>
    <t>Cheese, feta</t>
  </si>
  <si>
    <t>01020</t>
  </si>
  <si>
    <t>CHEESE,FONTINA</t>
  </si>
  <si>
    <t>Cheese, fontina</t>
  </si>
  <si>
    <t>01021</t>
  </si>
  <si>
    <t>CHEESE,GJETOST</t>
  </si>
  <si>
    <t>Cheese, gjetost</t>
  </si>
  <si>
    <t>01022</t>
  </si>
  <si>
    <t>CHEESE,GOUDA</t>
  </si>
  <si>
    <t>Cheese, gouda</t>
  </si>
  <si>
    <t>01023</t>
  </si>
  <si>
    <t>CHEESE,GRUYERE</t>
  </si>
  <si>
    <t>Cheese, gruyere</t>
  </si>
  <si>
    <t>01024</t>
  </si>
  <si>
    <t>CHEESE,LIMBURGER</t>
  </si>
  <si>
    <t>Cheese, limburger</t>
  </si>
  <si>
    <t>01025</t>
  </si>
  <si>
    <t>CHEESE,MONTEREY</t>
  </si>
  <si>
    <t>Cheese, monterey</t>
  </si>
  <si>
    <t>01026</t>
  </si>
  <si>
    <t>CHEESE,MOZZARELLA,WHL MILK</t>
  </si>
  <si>
    <t>Cheese, mozzarella, whole milk</t>
  </si>
  <si>
    <t>01027</t>
  </si>
  <si>
    <t>CHEESE,MOZZARELLA,WHL MILK,LO MOIST</t>
  </si>
  <si>
    <t>Cheese, mozzarella, whole milk, low moisture</t>
  </si>
  <si>
    <t>01028</t>
  </si>
  <si>
    <t>CHEESE,MOZZARELLA,PART SKIM MILK</t>
  </si>
  <si>
    <t>Cheese, mozzarella, part skim milk</t>
  </si>
  <si>
    <t>01029</t>
  </si>
  <si>
    <t>CHEESE,MOZZARELLA,LO MOIST,PART-SKIM</t>
  </si>
  <si>
    <t>Cheese, mozzarella, low moisture, part-skim</t>
  </si>
  <si>
    <t>01030</t>
  </si>
  <si>
    <t>CHEESE,MUENSTER</t>
  </si>
  <si>
    <t>Cheese, muenster</t>
  </si>
  <si>
    <t>01031</t>
  </si>
  <si>
    <t>CHEESE,NEUFCHATEL</t>
  </si>
  <si>
    <t>Cheese, neufchatel</t>
  </si>
  <si>
    <t>01032</t>
  </si>
  <si>
    <t>CHEESE,PARMESAN,GRATED</t>
  </si>
  <si>
    <t>Cheese, parmesan, grated</t>
  </si>
  <si>
    <t>01033</t>
  </si>
  <si>
    <t>CHEESE,PARMESAN,HARD</t>
  </si>
  <si>
    <t>Cheese, parmesan, hard</t>
  </si>
  <si>
    <t>01034</t>
  </si>
  <si>
    <t>CHEESE,PORT DE SALUT</t>
  </si>
  <si>
    <t>Cheese, port de salut</t>
  </si>
  <si>
    <t>01035</t>
  </si>
  <si>
    <t>CHEESE,PROVOLONE</t>
  </si>
  <si>
    <t>Cheese, provolone</t>
  </si>
  <si>
    <t>01036</t>
  </si>
  <si>
    <t>CHEESE,RICOTTA,WHOLE MILK</t>
  </si>
  <si>
    <t>Cheese, ricotta, whole milk</t>
  </si>
  <si>
    <t>01037</t>
  </si>
  <si>
    <t>CHEESE,RICOTTA,PART SKIM MILK</t>
  </si>
  <si>
    <t>Cheese, ricotta, part skim milk</t>
  </si>
  <si>
    <t>01038</t>
  </si>
  <si>
    <t>CHEESE,ROMANO</t>
  </si>
  <si>
    <t>Cheese, romano</t>
  </si>
  <si>
    <t>01039</t>
  </si>
  <si>
    <t>CHEESE,ROQUEFORT</t>
  </si>
  <si>
    <t>Cheese, roquefort</t>
  </si>
  <si>
    <t>01040</t>
  </si>
  <si>
    <t>CHEESE,SWISS</t>
  </si>
  <si>
    <t>Cheese, swiss</t>
  </si>
  <si>
    <t>01041</t>
  </si>
  <si>
    <t>CHEESE,TILSIT</t>
  </si>
  <si>
    <t>Cheese, tilsit</t>
  </si>
  <si>
    <t>01042</t>
  </si>
  <si>
    <t>CHEESE,PAST PROCESS,AMERICAN,FORT W/ VITAMIN D</t>
  </si>
  <si>
    <t>Cheese, pasteurized process, American, fortified with vitamin D</t>
  </si>
  <si>
    <t>01043</t>
  </si>
  <si>
    <t>CHEESE,PAST PROCESS,PIMENTO</t>
  </si>
  <si>
    <t>Cheese, pasteurized process, pimento</t>
  </si>
  <si>
    <t>01044</t>
  </si>
  <si>
    <t>CHEESE,PAST PROCESS,SWISS</t>
  </si>
  <si>
    <t>Cheese, pasteurized process, swiss</t>
  </si>
  <si>
    <t>01045</t>
  </si>
  <si>
    <t>CHEESE FD,COLD PK,AMERICAN</t>
  </si>
  <si>
    <t>Cheese food, cold pack, American</t>
  </si>
  <si>
    <t>01046</t>
  </si>
  <si>
    <t>CHEESE FD,PAST PROCESS,AMERICAN,VITAMIN D FORT</t>
  </si>
  <si>
    <t>Cheese food, pasteurized process, American, vitamin D fortified</t>
  </si>
  <si>
    <t>01047</t>
  </si>
  <si>
    <t>CHEESE FD,PAST PROCESS,SWISS</t>
  </si>
  <si>
    <t>Cheese food, pasteurized process, swiss</t>
  </si>
  <si>
    <t>01048</t>
  </si>
  <si>
    <t>CHEESE SPRD,PAST PROCESS,AMERICAN</t>
  </si>
  <si>
    <t>Cheese spread, pasteurized process, American</t>
  </si>
  <si>
    <t>01049</t>
  </si>
  <si>
    <t>CREAM,FLUID,HALF AND HALF</t>
  </si>
  <si>
    <t>Cream, fluid, half and half</t>
  </si>
  <si>
    <t>01050</t>
  </si>
  <si>
    <t>CREAM,FLUID,LT (COFFEE CRM OR TABLE CRM)</t>
  </si>
  <si>
    <t>Cream, fluid, light (coffee cream or table cream)</t>
  </si>
  <si>
    <t>01052</t>
  </si>
  <si>
    <t>CREAM,FLUID,LT WHIPPING</t>
  </si>
  <si>
    <t>Cream, fluid, light whipping</t>
  </si>
  <si>
    <t>01053</t>
  </si>
  <si>
    <t>CREAM,FLUID,HVY WHIPPING</t>
  </si>
  <si>
    <t>Cream, fluid, heavy whipping</t>
  </si>
  <si>
    <t>01054</t>
  </si>
  <si>
    <t>CREAM,WHIPPED,CRM TOPPING,PRESSURIZED</t>
  </si>
  <si>
    <t>Cream, whipped, cream topping, pressurized</t>
  </si>
  <si>
    <t>01055</t>
  </si>
  <si>
    <t>CREAM,SOUR,RED FAT,CULTURED</t>
  </si>
  <si>
    <t>Cream, sour, reduced fat, cultured</t>
  </si>
  <si>
    <t>01056</t>
  </si>
  <si>
    <t>CREAM,SOUR,CULTURED</t>
  </si>
  <si>
    <t>Cream, sour, cultured</t>
  </si>
  <si>
    <t>01057</t>
  </si>
  <si>
    <t>EGGNOG</t>
  </si>
  <si>
    <t>Eggnog</t>
  </si>
  <si>
    <t>01058</t>
  </si>
  <si>
    <t>SOUR DRSNG,NON-BUTTERFAT,CULTURED,FILLED CREAM-TYPE</t>
  </si>
  <si>
    <t>Sour dressing, non-butterfat, cultured, filled cream-type</t>
  </si>
  <si>
    <t>01059</t>
  </si>
  <si>
    <t>MILK,FILLED,FLUID,W/BLEND OF HYDR VEG OILS</t>
  </si>
  <si>
    <t>Milk, filled, fluid, with blend of hydrogenated vegetable oils</t>
  </si>
  <si>
    <t>01060</t>
  </si>
  <si>
    <t>MILK,FILLED,FLUID,W/LAURIC ACID OIL</t>
  </si>
  <si>
    <t>Milk, filled, fluid, with lauric acid oil</t>
  </si>
  <si>
    <t>01061</t>
  </si>
  <si>
    <t>CHEESE,AMERICAN,NONFAT OR FAT FREE</t>
  </si>
  <si>
    <t>Cheese, American, nonfat or fat free</t>
  </si>
  <si>
    <t>01067</t>
  </si>
  <si>
    <t>CREAM SUB,LIQ,W/HYDR VEG OIL&amp;SOY PROT</t>
  </si>
  <si>
    <t>Cream substitute, liquid, with hydrogenated vegetable oil and soy protein</t>
  </si>
  <si>
    <t>01068</t>
  </si>
  <si>
    <t>CREAM SUB,LIQ,W/LAURIC ACID OIL&amp;NA CASEINATE</t>
  </si>
  <si>
    <t>Cream substitute, liquid, with lauric acid oil and sodium caseinate</t>
  </si>
  <si>
    <t>01069</t>
  </si>
  <si>
    <t>CREAM SUBSTITUTE,POWDERED</t>
  </si>
  <si>
    <t>Cream substitute, powdered</t>
  </si>
  <si>
    <t>01070</t>
  </si>
  <si>
    <t>DESSERT TOPPING,POWDERED</t>
  </si>
  <si>
    <t>Dessert topping, powdered</t>
  </si>
  <si>
    <t>01071</t>
  </si>
  <si>
    <t>DESSERT TOPPING,PDR,1.5 OZ PREP W/1/2 CUP MILK</t>
  </si>
  <si>
    <t>Dessert topping, powdered, 1.5 ounce prepared with 1/2 cup milk</t>
  </si>
  <si>
    <t>01072</t>
  </si>
  <si>
    <t>DESSERT TOPPING,PRESSURIZED</t>
  </si>
  <si>
    <t>Dessert topping, pressurized</t>
  </si>
  <si>
    <t>01073</t>
  </si>
  <si>
    <t>DESSERT TOPPING,SEMI SOLID,FRZ</t>
  </si>
  <si>
    <t>Dessert topping, semi solid, frozen</t>
  </si>
  <si>
    <t>01074</t>
  </si>
  <si>
    <t>SOUR CRM,IMITN,CULTURED</t>
  </si>
  <si>
    <t>Sour cream, imitation, cultured</t>
  </si>
  <si>
    <t>01076</t>
  </si>
  <si>
    <t>MILK SUBSTITUTES,FLUID,W/LAURIC ACID OIL</t>
  </si>
  <si>
    <t>Milk substitutes, fluid, with lauric acid oil</t>
  </si>
  <si>
    <t>01077</t>
  </si>
  <si>
    <t>MILK,WHL,3.25% MILKFAT,W/ ADDED VITAMIN D</t>
  </si>
  <si>
    <t>Milk, whole, 3.25% milkfat, with added vitamin D</t>
  </si>
  <si>
    <t>01078</t>
  </si>
  <si>
    <t>MILK,PRODUCER,FLUID,3.7% MILKFAT</t>
  </si>
  <si>
    <t>Milk, producer, fluid, 3.7% milkfat</t>
  </si>
  <si>
    <t>01079</t>
  </si>
  <si>
    <t>MILK,RED FAT,FLUID,2% MILKFAT,W/ ADDED VIT A &amp; VITAMIN D</t>
  </si>
  <si>
    <t>Milk, reduced fat, fluid, 2% milkfat, with added vitamin A and vitamin D</t>
  </si>
  <si>
    <t>01080</t>
  </si>
  <si>
    <t>MILK,RED FAT,FLUID,2% MILKFAT,W/ ADDED NFMS, VIT A &amp; VIT D</t>
  </si>
  <si>
    <t>Milk, reduced fat, fluid, 2% milkfat, with added nonfat milk solids and vitamin A and vitamin D</t>
  </si>
  <si>
    <t>01081</t>
  </si>
  <si>
    <t>MILK,RED FAT,FLUID,2% MILKFAT,PROT FORT,W/ ADDED VIT A &amp; D</t>
  </si>
  <si>
    <t>Milk, reduced fat, fluid, 2% milkfat, protein fortified, with added vitamin A and vitamin D</t>
  </si>
  <si>
    <t>01082</t>
  </si>
  <si>
    <t>MILK,LOWFAT,FLUID,1% MILKFAT,W/ ADDED VIT A &amp; VITAMIN D</t>
  </si>
  <si>
    <t>Milk, lowfat, fluid, 1% milkfat, with added vitamin A and vitamin D</t>
  </si>
  <si>
    <t>01083</t>
  </si>
  <si>
    <t>MILK,LOWFAT,FLUID,1% MILKFAT,W/ ADD NONFAT MILK SOL,VIT A/ D</t>
  </si>
  <si>
    <t>Milk, lowfat, fluid, 1% milkfat, with added nonfat milk solids, vitamin A and vitamin D</t>
  </si>
  <si>
    <t>01084</t>
  </si>
  <si>
    <t>MILK,LOWFAT,FLUID,1% MILKFAT,PROT FORT,W/ ADDED VIT A &amp; D</t>
  </si>
  <si>
    <t>Milk, lowfat, fluid, 1% milkfat, protein fortified, with added vitamin A and vitamin D</t>
  </si>
  <si>
    <t>01085</t>
  </si>
  <si>
    <t>MILK,NONFAT,FLUID,W/ ADDED VIT A &amp; VIT D (FAT FREE OR SKIM)</t>
  </si>
  <si>
    <t>Milk, nonfat, fluid, with added vitamin A and vitamin D (fat free or skim)</t>
  </si>
  <si>
    <t>01086</t>
  </si>
  <si>
    <t>MILK,NONFAT,FLUID,W/ ADDED NONFAT MILK SOL,VIT A &amp; VIT D</t>
  </si>
  <si>
    <t>Milk, nonfat, fluid, with added nonfat milk solids, vitamin A and vitamin D (fat free or skim)</t>
  </si>
  <si>
    <t>01087</t>
  </si>
  <si>
    <t>MILK,NONFAT,FLUID,PROT FORT,W/ ADD VIT A &amp; D (FAT FREE/SKIM)</t>
  </si>
  <si>
    <t>Milk, nonfat, fluid, protein fortified, with added vitamin A and vitamin D (fat free and skim)</t>
  </si>
  <si>
    <t>01088</t>
  </si>
  <si>
    <t>MILK,BTTRMLK,FLUID,CULTURED,LOWFAT</t>
  </si>
  <si>
    <t>Milk, buttermilk, fluid, cultured, lowfat</t>
  </si>
  <si>
    <t>01089</t>
  </si>
  <si>
    <t>MILK,LO NA,FLUID</t>
  </si>
  <si>
    <t>Milk, low sodium, fluid</t>
  </si>
  <si>
    <t>01090</t>
  </si>
  <si>
    <t>MILK,DRY,WHL,W/ ADDED VITAMIN D</t>
  </si>
  <si>
    <t>Milk, dry, whole, with added vitamin D</t>
  </si>
  <si>
    <t>01091</t>
  </si>
  <si>
    <t>MILK,DRY,NONFAT,REG,WO/ ADDED VIT A &amp; VITAMIN D</t>
  </si>
  <si>
    <t>Milk, dry, nonfat, regular, without added vitamin A and vitamin D</t>
  </si>
  <si>
    <t>01092</t>
  </si>
  <si>
    <t>MILK,DRY,NONFAT,INST,W/ ADDED VIT A &amp; VITAMIN D</t>
  </si>
  <si>
    <t>Milk, dry, nonfat, instant, with added vitamin A and vitamin D</t>
  </si>
  <si>
    <t>01093</t>
  </si>
  <si>
    <t>MILK,DRY,NONFAT,CA RED</t>
  </si>
  <si>
    <t>Milk, dry, nonfat, calcium reduced</t>
  </si>
  <si>
    <t>01094</t>
  </si>
  <si>
    <t>MILK,BUTTERMILK,DRIED</t>
  </si>
  <si>
    <t>Milk, buttermilk, dried</t>
  </si>
  <si>
    <t>01095</t>
  </si>
  <si>
    <t>MILK,CND,COND,SWTND</t>
  </si>
  <si>
    <t>Milk, canned, condensed, sweetened</t>
  </si>
  <si>
    <t>01096</t>
  </si>
  <si>
    <t>MILK,CND,EVAP,W/ ADDED VITAMIN D &amp; WO/ ADDED VIT A</t>
  </si>
  <si>
    <t>Milk, canned, evaporated, with added vitamin D and without added vitamin A</t>
  </si>
  <si>
    <t>01097</t>
  </si>
  <si>
    <t>MILK,CND,EVAP,NONFAT,W/ ADDED VIT A &amp; VITAMIN D</t>
  </si>
  <si>
    <t>Milk, canned, evaporated, nonfat, with added vitamin A and vitamin D</t>
  </si>
  <si>
    <t>01102</t>
  </si>
  <si>
    <t>MILK,CHOC,FLUID,COMM,WHL,W/ ADDED VIT A &amp; VITAMIN D</t>
  </si>
  <si>
    <t>Milk, chocolate, fluid, commercial, whole, with added vitamin A and vitamin D</t>
  </si>
  <si>
    <t>01103</t>
  </si>
  <si>
    <t>MILK,CHOC,FLUID,COMM,RED FAT</t>
  </si>
  <si>
    <t>Milk, chocolate, fluid, commercial, reduced fat, with added vitamin A and vitamin D</t>
  </si>
  <si>
    <t>01104</t>
  </si>
  <si>
    <t>MILK,CHOC,FLUID,COMM,LOWFAT,W/ ADDED VIT A &amp; VITAMIN D</t>
  </si>
  <si>
    <t>Milk, chocolate, fluid, commercial, lowfat, with added vitamin A and vitamin D</t>
  </si>
  <si>
    <t>01105</t>
  </si>
  <si>
    <t>MILK,CHOC BEV,HOT COCOA,HOMEMADE</t>
  </si>
  <si>
    <t>Milk, chocolate beverage, hot cocoa, homemade</t>
  </si>
  <si>
    <t>01106</t>
  </si>
  <si>
    <t>MILK,GOAT,FLUID,W/ ADDED VITAMIN D</t>
  </si>
  <si>
    <t>Milk, goat, fluid, with added vitamin D</t>
  </si>
  <si>
    <t>01107</t>
  </si>
  <si>
    <t>MILK,HUMAN,MATURE,FLUID</t>
  </si>
  <si>
    <t>Milk, human, mature, fluid</t>
  </si>
  <si>
    <t>01108</t>
  </si>
  <si>
    <t>MILK,INDIAN BUFFALO,FLUID</t>
  </si>
  <si>
    <t>Milk, indian buffalo, fluid</t>
  </si>
  <si>
    <t>01109</t>
  </si>
  <si>
    <t>MILK,SHEEP,FLUID</t>
  </si>
  <si>
    <t>Milk, sheep, fluid</t>
  </si>
  <si>
    <t>01110</t>
  </si>
  <si>
    <t>MILK SHAKES,THICK CHOC</t>
  </si>
  <si>
    <t>Milk shakes, thick chocolate</t>
  </si>
  <si>
    <t>You are using the XLSTAT trial version. Number of days remaining until the trial expires: 6</t>
  </si>
  <si>
    <t>Observations/variables table: Workbook = Book1 / Sheet = Sheet1 / Range = Sheet1!$E$1:$AA$100 / 99 rows and 23 columns</t>
  </si>
  <si>
    <t>Observation labels: Workbook = Book1 / Sheet = Sheet1 / Range = Sheet1!$D$1:$D$100 / 99 rows and 1 column</t>
  </si>
  <si>
    <t>PCA type: Correlation</t>
  </si>
  <si>
    <t>Filter factors: Maximum number = 5</t>
  </si>
  <si>
    <t>Standardisation: (n)</t>
  </si>
  <si>
    <t>Type of biplot: Distance biplot / Coefficient = Automatic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</si>
  <si>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</si>
  <si>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</si>
  <si>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</si>
  <si>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</si>
  <si>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</si>
  <si>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</si>
  <si>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</si>
  <si>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</si>
  <si>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</si>
  <si>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 (Pearson (n)):</t>
  </si>
  <si>
    <t>Variables</t>
  </si>
  <si>
    <t>Values in bold are different from 0 with a significance level alpha=0.05</t>
  </si>
  <si>
    <t>Principal Component Analysis:</t>
  </si>
  <si>
    <t>Eigenvalues: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</si>
  <si>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</si>
  <si>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</si>
  <si>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</si>
  <si>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</si>
  <si>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</si>
  <si>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</si>
  <si>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</si>
  <si>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</si>
  <si>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</si>
  <si>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</si>
  <si>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</si>
  <si>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</si>
  <si>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</si>
  <si>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</si>
  <si>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</si>
  <si>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</si>
  <si>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</si>
  <si>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</si>
  <si>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</si>
  <si>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</si>
  <si>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</si>
  <si>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</si>
  <si>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</si>
  <si>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Eigenvalue</t>
  </si>
  <si>
    <t>Variability (%)</t>
  </si>
  <si>
    <t>Cumulative %</t>
  </si>
  <si>
    <t xml:space="preserve"> </t>
  </si>
  <si>
    <t>Eigenvectors:</t>
  </si>
  <si>
    <t>Factor loadings:</t>
  </si>
  <si>
    <t>Correlations between variables and factors:</t>
  </si>
  <si>
    <t>Contribution of the variables (%):</t>
  </si>
  <si>
    <t>Squared cosines of the variables:</t>
  </si>
  <si>
    <t>Values in bold correspond for each variable to the factor for which the squared cosine is the largest</t>
  </si>
  <si>
    <t>Factor scores:</t>
  </si>
  <si>
    <t>Contribution of the observations (%):</t>
  </si>
  <si>
    <t>Axes homogeneity index:</t>
  </si>
  <si>
    <t>Value</t>
  </si>
  <si>
    <t>Squared cosines of the observations:</t>
  </si>
  <si>
    <t>Values in bold correspond for each observation to the factor for which the squared cosine is the largest</t>
  </si>
  <si>
    <r>
      <t>XLSTAT 2023.3.1.1416 - Principal Component Analysis (PCA) - Start time: 28/03/2024 at 05:43:42 / End time: 28/03/2024 at 05:44:39</t>
    </r>
    <r>
      <rPr>
        <sz val="11"/>
        <color rgb="FFFFFFFF"/>
        <rFont val="Aptos Narrow"/>
        <family val="2"/>
        <scheme val="minor"/>
      </rPr>
      <t xml:space="preserve"> / Microsoft Excel 16.017328</t>
    </r>
  </si>
  <si>
    <t>You are using the XLSTAT trial version. Number of days remaining until the trial expires: 14</t>
  </si>
  <si>
    <t>Observations/variables table: Workbook = PCA.xlsm / Sheet = Sheet1 / Range = 'Sheet1'!$E$1:$AA$100 / 99 rows and 23 columns</t>
  </si>
  <si>
    <t>Observation labels: Workbook = PCA.xlsm / Sheet = Sheet1 / Range = 'Sheet1'!$C$1:$C$100 / 99 rows and 1 column</t>
  </si>
  <si>
    <r>
      <t>XLSTAT 2023.3.1.1416 - Principal Component Analysis (PCA) - Start time: 05/04/2024 at 13:45:36 / End time: 05/04/2024 at 13:47:23</t>
    </r>
    <r>
      <rPr>
        <sz val="11"/>
        <color rgb="FFFFFFFF"/>
        <rFont val="Aptos Narrow"/>
        <family val="2"/>
        <scheme val="minor"/>
      </rPr>
      <t xml:space="preserve"> / Microsoft Excel 16.017425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</si>
</sst>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1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95217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quotePrefix="1"/>
    <xf numFmtId="0" fontId="2" fillId="2" borderId="0" xfId="0" applyFont="1" applyFill="1" applyAlignment="1">
      <alignment vertical="center"/>
    </xf>
    <xf numFmtId="0" fontId="1" fillId="0" borderId="0" xfId="0" applyFont="1"/>
    <xf numFmtId="49" fontId="0" fillId="0" borderId="0" xfId="0" applyNumberFormat="1"/>
    <xf numFmtId="49" fontId="4" fillId="0" borderId="0" xfId="0" applyNumberFormat="1" applyFont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4" fillId="0" borderId="2" xfId="0" applyNumberFormat="1" applyFont="1" applyBorder="1"/>
    <xf numFmtId="49" fontId="4" fillId="0" borderId="3" xfId="0" applyNumberFormat="1" applyFont="1" applyBorder="1"/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49" fontId="0" fillId="0" borderId="2" xfId="0" applyNumberFormat="1" applyBorder="1"/>
    <xf numFmtId="49" fontId="0" fillId="0" borderId="3" xfId="0" applyNumberFormat="1" applyBorder="1"/>
    <xf numFmtId="164" fontId="0" fillId="0" borderId="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3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/>
    <xf numFmtId="49" fontId="0" fillId="0" borderId="0" xfId="0" applyNumberFormat="1" applyAlignment="1"/>
    <xf numFmtId="49" fontId="4" fillId="0" borderId="0" xfId="0" applyNumberFormat="1" applyFont="1" applyAlignment="1"/>
    <xf numFmtId="0" fontId="0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49" fontId="4" fillId="0" borderId="2" xfId="0" applyNumberFormat="1" applyFont="1" applyBorder="1" applyAlignment="1"/>
    <xf numFmtId="49" fontId="4" fillId="0" borderId="3" xfId="0" applyNumberFormat="1" applyFont="1" applyBorder="1" applyAlignment="1"/>
    <xf numFmtId="0" fontId="4" fillId="0" borderId="2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3" xfId="0" applyNumberFormat="1" applyFont="1" applyBorder="1" applyAlignment="1">
      <alignment horizontal="center"/>
    </xf>
    <xf numFmtId="49" fontId="0" fillId="0" borderId="2" xfId="0" applyNumberFormat="1" applyBorder="1" applyAlignment="1"/>
    <xf numFmtId="49" fontId="0" fillId="0" borderId="3" xfId="0" applyNumberForma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'PCA1'!$C$46:$Y$46</c:f>
              <c:strCache>
                <c:ptCount val="2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  <c:pt idx="19">
                  <c:v>F20</c:v>
                </c:pt>
                <c:pt idx="20">
                  <c:v>F21</c:v>
                </c:pt>
                <c:pt idx="21">
                  <c:v>F22</c:v>
                </c:pt>
                <c:pt idx="22">
                  <c:v>F23</c:v>
                </c:pt>
              </c:strCache>
            </c:strRef>
          </c:cat>
          <c:val>
            <c:numRef>
              <c:f>'PCA1'!$C$47:$Y$47</c:f>
              <c:numCache>
                <c:formatCode>0.000</c:formatCode>
                <c:ptCount val="23"/>
                <c:pt idx="0">
                  <c:v>9.3111533651157821</c:v>
                </c:pt>
                <c:pt idx="1">
                  <c:v>3.8737405766953117</c:v>
                </c:pt>
                <c:pt idx="2">
                  <c:v>2.5728918034889445</c:v>
                </c:pt>
                <c:pt idx="3">
                  <c:v>1.9501098736681799</c:v>
                </c:pt>
                <c:pt idx="4">
                  <c:v>1.6800400499179158</c:v>
                </c:pt>
                <c:pt idx="5">
                  <c:v>0.89674381248559076</c:v>
                </c:pt>
                <c:pt idx="6">
                  <c:v>0.68466632869620492</c:v>
                </c:pt>
                <c:pt idx="7">
                  <c:v>0.45822211329049872</c:v>
                </c:pt>
                <c:pt idx="8">
                  <c:v>0.32419884632881429</c:v>
                </c:pt>
                <c:pt idx="9">
                  <c:v>0.28803768242112798</c:v>
                </c:pt>
                <c:pt idx="10">
                  <c:v>0.23111669781001046</c:v>
                </c:pt>
                <c:pt idx="11">
                  <c:v>0.16700592328589423</c:v>
                </c:pt>
                <c:pt idx="12">
                  <c:v>0.13585820342109856</c:v>
                </c:pt>
                <c:pt idx="13">
                  <c:v>0.1245586020456305</c:v>
                </c:pt>
                <c:pt idx="14">
                  <c:v>8.407274942432777E-2</c:v>
                </c:pt>
                <c:pt idx="15">
                  <c:v>6.9928853180730374E-2</c:v>
                </c:pt>
                <c:pt idx="16">
                  <c:v>4.3707670372802369E-2</c:v>
                </c:pt>
                <c:pt idx="17">
                  <c:v>3.08819280064128E-2</c:v>
                </c:pt>
                <c:pt idx="18">
                  <c:v>2.8625895625976932E-2</c:v>
                </c:pt>
                <c:pt idx="19">
                  <c:v>1.8454168726515278E-2</c:v>
                </c:pt>
                <c:pt idx="20">
                  <c:v>1.5142074828655061E-2</c:v>
                </c:pt>
                <c:pt idx="21">
                  <c:v>1.0839743429183217E-2</c:v>
                </c:pt>
                <c:pt idx="22">
                  <c:v>3.0377344012215583E-6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C-4AFE-A520-071F01FF1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59503184"/>
        <c:axId val="1459503664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'PCA1'!$C$46:$Y$46</c:f>
              <c:strCache>
                <c:ptCount val="2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  <c:pt idx="19">
                  <c:v>F20</c:v>
                </c:pt>
                <c:pt idx="20">
                  <c:v>F21</c:v>
                </c:pt>
                <c:pt idx="21">
                  <c:v>F22</c:v>
                </c:pt>
                <c:pt idx="22">
                  <c:v>F23</c:v>
                </c:pt>
              </c:strCache>
            </c:strRef>
          </c:cat>
          <c:val>
            <c:numRef>
              <c:f>'PCA1'!$C$49:$Y$49</c:f>
              <c:numCache>
                <c:formatCode>0.000</c:formatCode>
                <c:ptCount val="23"/>
                <c:pt idx="0">
                  <c:v>40.483275500503368</c:v>
                </c:pt>
                <c:pt idx="1">
                  <c:v>57.325625833961233</c:v>
                </c:pt>
                <c:pt idx="2">
                  <c:v>68.512111936087067</c:v>
                </c:pt>
                <c:pt idx="3">
                  <c:v>76.990850517253065</c:v>
                </c:pt>
                <c:pt idx="4">
                  <c:v>84.295372473417913</c:v>
                </c:pt>
                <c:pt idx="5">
                  <c:v>88.194258614659603</c:v>
                </c:pt>
                <c:pt idx="6">
                  <c:v>91.171068739425706</c:v>
                </c:pt>
                <c:pt idx="7">
                  <c:v>93.163338797210486</c:v>
                </c:pt>
                <c:pt idx="8">
                  <c:v>94.572898998640113</c:v>
                </c:pt>
                <c:pt idx="9">
                  <c:v>95.825236748297186</c:v>
                </c:pt>
                <c:pt idx="10">
                  <c:v>96.830091956166797</c:v>
                </c:pt>
                <c:pt idx="11">
                  <c:v>97.556204666105472</c:v>
                </c:pt>
                <c:pt idx="12">
                  <c:v>98.146892507066767</c:v>
                </c:pt>
                <c:pt idx="13">
                  <c:v>98.688451646395592</c:v>
                </c:pt>
                <c:pt idx="14">
                  <c:v>99.053985339544838</c:v>
                </c:pt>
                <c:pt idx="15">
                  <c:v>99.358023831634966</c:v>
                </c:pt>
                <c:pt idx="16">
                  <c:v>99.54805718108193</c:v>
                </c:pt>
                <c:pt idx="17">
                  <c:v>99.68232643328372</c:v>
                </c:pt>
                <c:pt idx="18">
                  <c:v>99.806786849048834</c:v>
                </c:pt>
                <c:pt idx="19">
                  <c:v>99.88702236525107</c:v>
                </c:pt>
                <c:pt idx="20">
                  <c:v>99.952857473201746</c:v>
                </c:pt>
                <c:pt idx="21">
                  <c:v>99.999986792459069</c:v>
                </c:pt>
                <c:pt idx="22">
                  <c:v>99.999999999999943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1C-4AFE-A520-071F01FF1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7110976"/>
        <c:axId val="1407107616"/>
      </c:lineChart>
      <c:catAx>
        <c:axId val="145950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459503664"/>
        <c:crosses val="autoZero"/>
        <c:auto val="1"/>
        <c:lblAlgn val="ctr"/>
        <c:lblOffset val="100"/>
        <c:noMultiLvlLbl val="0"/>
      </c:catAx>
      <c:valAx>
        <c:axId val="145950366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59503184"/>
        <c:crosses val="autoZero"/>
        <c:crossBetween val="between"/>
      </c:valAx>
      <c:valAx>
        <c:axId val="1407107616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07110976"/>
        <c:crosses val="max"/>
        <c:crossBetween val="between"/>
        <c:majorUnit val="20"/>
      </c:valAx>
      <c:catAx>
        <c:axId val="1407110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7107616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Variables (axes F1 and F2: 57.33 %)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5.0906787693205016E-2"/>
          <c:y val="7.849166423641489E-2"/>
          <c:w val="0.92594506415864697"/>
          <c:h val="0.76305865412656748"/>
        </c:manualLayout>
      </c:layout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9290123456790122E-2"/>
                  <c:y val="-3.08641975308642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Energy_kcal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B00-4873-8FB2-E5FE93026D45}"/>
                </c:ext>
              </c:extLst>
            </c:dLbl>
            <c:dLbl>
              <c:idx val="1"/>
              <c:layout>
                <c:manualLayout>
                  <c:x val="-1.929012345679012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Protein_g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B00-4873-8FB2-E5FE93026D45}"/>
                </c:ext>
              </c:extLst>
            </c:dLbl>
            <c:dLbl>
              <c:idx val="2"/>
              <c:layout>
                <c:manualLayout>
                  <c:x val="-1.9290123456790195E-2"/>
                  <c:y val="-3.086419753086420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Fat_g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B00-4873-8FB2-E5FE93026D45}"/>
                </c:ext>
              </c:extLst>
            </c:dLbl>
            <c:dLbl>
              <c:idx val="3"/>
              <c:layout>
                <c:manualLayout>
                  <c:x val="-1.9290123456790195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Carb_g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B00-4873-8FB2-E5FE93026D45}"/>
                </c:ext>
              </c:extLst>
            </c:dLbl>
            <c:dLbl>
              <c:idx val="4"/>
              <c:layout>
                <c:manualLayout>
                  <c:x val="-1.929012345679012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Sugar_g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B00-4873-8FB2-E5FE93026D45}"/>
                </c:ext>
              </c:extLst>
            </c:dLbl>
            <c:dLbl>
              <c:idx val="5"/>
              <c:layout>
                <c:manualLayout>
                  <c:x val="-0.11631944444444443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Fiber_g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B00-4873-8FB2-E5FE93026D45}"/>
                </c:ext>
              </c:extLst>
            </c:dLbl>
            <c:dLbl>
              <c:idx val="6"/>
              <c:layout>
                <c:manualLayout>
                  <c:x val="-1.9290123456790122E-2"/>
                  <c:y val="-3.08641975308642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VitA_mcg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B00-4873-8FB2-E5FE93026D45}"/>
                </c:ext>
              </c:extLst>
            </c:dLbl>
            <c:dLbl>
              <c:idx val="7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VitB6_mg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B00-4873-8FB2-E5FE93026D45}"/>
                </c:ext>
              </c:extLst>
            </c:dLbl>
            <c:dLbl>
              <c:idx val="8"/>
              <c:layout>
                <c:manualLayout>
                  <c:x val="-1.929012345679012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VitB12_mcg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B00-4873-8FB2-E5FE93026D45}"/>
                </c:ext>
              </c:extLst>
            </c:dLbl>
            <c:dLbl>
              <c:idx val="9"/>
              <c:layout>
                <c:manualLayout>
                  <c:x val="-1.9290123456790195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B00-4873-8FB2-E5FE93026D45}"/>
                </c:ext>
              </c:extLst>
            </c:dLbl>
            <c:dLbl>
              <c:idx val="10"/>
              <c:layout>
                <c:manualLayout>
                  <c:x val="-0.12528950374258774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B00-4873-8FB2-E5FE93026D45}"/>
                </c:ext>
              </c:extLst>
            </c:dLbl>
            <c:dLbl>
              <c:idx val="11"/>
              <c:layout>
                <c:manualLayout>
                  <c:x val="-1.9290123456790265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Folate_mcg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B00-4873-8FB2-E5FE93026D45}"/>
                </c:ext>
              </c:extLst>
            </c:dLbl>
            <c:dLbl>
              <c:idx val="12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Niacin_mg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B00-4873-8FB2-E5FE93026D45}"/>
                </c:ext>
              </c:extLst>
            </c:dLbl>
            <c:dLbl>
              <c:idx val="13"/>
              <c:layout>
                <c:manualLayout>
                  <c:x val="-1.9290123456790265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Riboflavin_mg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B00-4873-8FB2-E5FE93026D45}"/>
                </c:ext>
              </c:extLst>
            </c:dLbl>
            <c:dLbl>
              <c:idx val="14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Thiamin_mg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B00-4873-8FB2-E5FE93026D45}"/>
                </c:ext>
              </c:extLst>
            </c:dLbl>
            <c:dLbl>
              <c:idx val="15"/>
              <c:layout>
                <c:manualLayout>
                  <c:x val="-1.929012345679012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Calcium_mg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B00-4873-8FB2-E5FE93026D45}"/>
                </c:ext>
              </c:extLst>
            </c:dLbl>
            <c:dLbl>
              <c:idx val="16"/>
              <c:layout>
                <c:manualLayout>
                  <c:x val="-1.929012345679012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Copper_mcg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B00-4873-8FB2-E5FE93026D45}"/>
                </c:ext>
              </c:extLst>
            </c:dLbl>
            <c:dLbl>
              <c:idx val="17"/>
              <c:layout>
                <c:manualLayout>
                  <c:x val="-1.9290123456790195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Iron_mg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B00-4873-8FB2-E5FE93026D45}"/>
                </c:ext>
              </c:extLst>
            </c:dLbl>
            <c:dLbl>
              <c:idx val="18"/>
              <c:layout>
                <c:manualLayout>
                  <c:x val="-1.9290123456790265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Magnesium_mg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B00-4873-8FB2-E5FE93026D45}"/>
                </c:ext>
              </c:extLst>
            </c:dLbl>
            <c:dLbl>
              <c:idx val="19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Manganese_mg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B00-4873-8FB2-E5FE93026D45}"/>
                </c:ext>
              </c:extLst>
            </c:dLbl>
            <c:dLbl>
              <c:idx val="20"/>
              <c:layout>
                <c:manualLayout>
                  <c:x val="-1.929012345679012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Phosphorus_mg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B00-4873-8FB2-E5FE93026D45}"/>
                </c:ext>
              </c:extLst>
            </c:dLbl>
            <c:dLbl>
              <c:idx val="21"/>
              <c:layout>
                <c:manualLayout>
                  <c:x val="-1.929012345679012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Selenium_mcg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B00-4873-8FB2-E5FE93026D45}"/>
                </c:ext>
              </c:extLst>
            </c:dLbl>
            <c:dLbl>
              <c:idx val="22"/>
              <c:layout>
                <c:manualLayout>
                  <c:x val="-1.9290123456790265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Zinc_mg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B00-4873-8FB2-E5FE93026D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XLSTAT_20240405_134419_1_HID!$A$1:$A$23</c:f>
              <c:numCache>
                <c:formatCode>General</c:formatCode>
                <c:ptCount val="23"/>
                <c:pt idx="0">
                  <c:v>0.41794227727735772</c:v>
                </c:pt>
                <c:pt idx="1">
                  <c:v>0.85610992865587998</c:v>
                </c:pt>
                <c:pt idx="2">
                  <c:v>4.1939007219503478E-2</c:v>
                </c:pt>
                <c:pt idx="3">
                  <c:v>0.47711483353825562</c:v>
                </c:pt>
                <c:pt idx="4">
                  <c:v>0.35156506243491709</c:v>
                </c:pt>
                <c:pt idx="5">
                  <c:v>-0.14498668600355008</c:v>
                </c:pt>
                <c:pt idx="6">
                  <c:v>0.24121413701513958</c:v>
                </c:pt>
                <c:pt idx="7">
                  <c:v>0.82923333874454219</c:v>
                </c:pt>
                <c:pt idx="8">
                  <c:v>0.90772947086542932</c:v>
                </c:pt>
                <c:pt idx="9">
                  <c:v>0.48897940335697876</c:v>
                </c:pt>
                <c:pt idx="10">
                  <c:v>-0.19367979578291944</c:v>
                </c:pt>
                <c:pt idx="11">
                  <c:v>0.67601671246720496</c:v>
                </c:pt>
                <c:pt idx="12">
                  <c:v>0.5004146723352233</c:v>
                </c:pt>
                <c:pt idx="13">
                  <c:v>0.89779281385889764</c:v>
                </c:pt>
                <c:pt idx="14">
                  <c:v>0.78521043889832609</c:v>
                </c:pt>
                <c:pt idx="15">
                  <c:v>0.84034074593847297</c:v>
                </c:pt>
                <c:pt idx="16">
                  <c:v>0.35717984603935238</c:v>
                </c:pt>
                <c:pt idx="17">
                  <c:v>0.45515603328114757</c:v>
                </c:pt>
                <c:pt idx="18">
                  <c:v>0.91555323395384047</c:v>
                </c:pt>
                <c:pt idx="19">
                  <c:v>5.1438772833336342E-3</c:v>
                </c:pt>
                <c:pt idx="20">
                  <c:v>0.88332693583455169</c:v>
                </c:pt>
                <c:pt idx="21">
                  <c:v>0.82127286425778911</c:v>
                </c:pt>
                <c:pt idx="22">
                  <c:v>0.84805749550477638</c:v>
                </c:pt>
              </c:numCache>
            </c:numRef>
          </c:xVal>
          <c:yVal>
            <c:numRef>
              <c:f>XLSTAT_20240405_134419_1_HID!$B$1:$B$23</c:f>
              <c:numCache>
                <c:formatCode>General</c:formatCode>
                <c:ptCount val="23"/>
                <c:pt idx="0">
                  <c:v>0.75382505992550419</c:v>
                </c:pt>
                <c:pt idx="1">
                  <c:v>0.31130556261322573</c:v>
                </c:pt>
                <c:pt idx="2">
                  <c:v>0.87899656152161931</c:v>
                </c:pt>
                <c:pt idx="3">
                  <c:v>-0.40012584843507676</c:v>
                </c:pt>
                <c:pt idx="4">
                  <c:v>-0.35760827166250414</c:v>
                </c:pt>
                <c:pt idx="5">
                  <c:v>-0.25805761437437141</c:v>
                </c:pt>
                <c:pt idx="6">
                  <c:v>0.73247767334733149</c:v>
                </c:pt>
                <c:pt idx="7">
                  <c:v>-0.27179582886309084</c:v>
                </c:pt>
                <c:pt idx="8">
                  <c:v>3.5591883242630962E-4</c:v>
                </c:pt>
                <c:pt idx="9">
                  <c:v>-0.44184694736854024</c:v>
                </c:pt>
                <c:pt idx="10">
                  <c:v>0.57340083440991085</c:v>
                </c:pt>
                <c:pt idx="11">
                  <c:v>1.9247953122821692E-2</c:v>
                </c:pt>
                <c:pt idx="12">
                  <c:v>-0.35954664406483028</c:v>
                </c:pt>
                <c:pt idx="13">
                  <c:v>-0.19072224591093256</c:v>
                </c:pt>
                <c:pt idx="14">
                  <c:v>-0.4351518814426597</c:v>
                </c:pt>
                <c:pt idx="15">
                  <c:v>0.28185440694312908</c:v>
                </c:pt>
                <c:pt idx="16">
                  <c:v>-0.34698368302898347</c:v>
                </c:pt>
                <c:pt idx="17">
                  <c:v>0.3395781441002001</c:v>
                </c:pt>
                <c:pt idx="18">
                  <c:v>-0.2464169402799477</c:v>
                </c:pt>
                <c:pt idx="19">
                  <c:v>-2.5646839781633922E-2</c:v>
                </c:pt>
                <c:pt idx="20">
                  <c:v>0.21349721420177853</c:v>
                </c:pt>
                <c:pt idx="21">
                  <c:v>0.27748141359458389</c:v>
                </c:pt>
                <c:pt idx="22">
                  <c:v>0.30408040090050081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00-4873-8FB2-E5FE93026D45}"/>
            </c:ext>
          </c:extLst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XLSTAT_20240405_134419_1_HID1!xcirclez1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XLSTAT_20240405_134419_1_HID1!ycirclez1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B00-4873-8FB2-E5FE93026D45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0.41794227727735772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0.75382505992550419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AB00-4873-8FB2-E5FE93026D4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0.85610992865587998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0.31130556261322573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AB00-4873-8FB2-E5FE93026D45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4.1939007219503478E-2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0.87899656152161931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AB00-4873-8FB2-E5FE93026D45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0.47711483353825562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-0.40012584843507676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AB00-4873-8FB2-E5FE93026D45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0.35156506243491709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-0.35760827166250414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AB00-4873-8FB2-E5FE93026D45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-0.14498668600355008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-0.25805761437437141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E-AB00-4873-8FB2-E5FE93026D45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0.24121413701513958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0.73247767334733149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AB00-4873-8FB2-E5FE93026D45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0.82923333874454219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-0.27179582886309084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AB00-4873-8FB2-E5FE93026D45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0.90772947086542932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3.5591883242630962E-4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1-AB00-4873-8FB2-E5FE93026D45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0.48897940335697876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-0.44184694736854024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AB00-4873-8FB2-E5FE93026D45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-0.19367979578291944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0.57340083440991085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3-AB00-4873-8FB2-E5FE93026D45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0.67601671246720496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1.9247953122821692E-2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4-AB00-4873-8FB2-E5FE93026D45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0.5004146723352233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-0.35954664406483028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5-AB00-4873-8FB2-E5FE93026D45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0.89779281385889764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-0.19072224591093256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AB00-4873-8FB2-E5FE93026D45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0.78521043889832609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-0.4351518814426597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7-AB00-4873-8FB2-E5FE93026D45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0.84034074593847297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0.28185440694312908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8-AB00-4873-8FB2-E5FE93026D45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0.35717984603935238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-0.34698368302898347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9-AB00-4873-8FB2-E5FE93026D45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0.45515603328114757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0.3395781441002001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A-AB00-4873-8FB2-E5FE93026D45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0.91555323395384047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-0.2464169402799477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B-AB00-4873-8FB2-E5FE93026D45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5.1438772833336342E-3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-2.5646839781633922E-2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C-AB00-4873-8FB2-E5FE93026D45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0.88332693583455169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0.21349721420177853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D-AB00-4873-8FB2-E5FE93026D45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0.82127286425778911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0.27748141359458389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E-AB00-4873-8FB2-E5FE93026D45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0.84805749550477638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0.30408040090050081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F-AB00-4873-8FB2-E5FE93026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504144"/>
        <c:axId val="1459502704"/>
      </c:scatterChart>
      <c:valAx>
        <c:axId val="1459504144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F1 (40.48 %)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459502704"/>
        <c:crosses val="autoZero"/>
        <c:crossBetween val="midCat"/>
        <c:majorUnit val="0.25"/>
      </c:valAx>
      <c:valAx>
        <c:axId val="145950270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F2 (16.84 %)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1459504144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34418834148798882"/>
          <c:y val="0.9117472295129776"/>
          <c:w val="0.34667993954743387"/>
          <c:h val="6.5104622338874318E-2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Observations (axes F1 and F2: 57.33 %)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observations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IN"/>
                      <a:t>BUTTER,WITH SALT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113-4E5D-8299-E59E4F72BB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IN"/>
                      <a:t>BUTTER,WHIPPED,WITH SALT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113-4E5D-8299-E59E4F72BB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IN"/>
                      <a:t>BUTTER OIL,ANHYDROUS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113-4E5D-8299-E59E4F72BB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IN"/>
                      <a:t>CHEESE,BLUE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113-4E5D-8299-E59E4F72BB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IN"/>
                      <a:t>CHEESE,BRICK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113-4E5D-8299-E59E4F72BB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IN"/>
                      <a:t>CHEESE,BRIE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113-4E5D-8299-E59E4F72BB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IN"/>
                      <a:t>CHEESE,CAMEMBERT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113-4E5D-8299-E59E4F72BB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IN"/>
                      <a:t>CHEESE,CARAWAY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113-4E5D-8299-E59E4F72BB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IN"/>
                      <a:t>CHEESE,CHEDDAR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13-4E5D-8299-E59E4F72BB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IN"/>
                      <a:t>CHEESE,CHESHIRE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13-4E5D-8299-E59E4F72BB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IN"/>
                      <a:t>CHEESE,COLBY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13-4E5D-8299-E59E4F72BB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IN"/>
                      <a:t>CHEESE,COTTAGE,CRMD,LRG OR SML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13-4E5D-8299-E59E4F72BB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IN"/>
                      <a:t>CHEESE,COTTAGE,CRMD,W/FRUIT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113-4E5D-8299-E59E4F72BB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IN"/>
                      <a:t>CHEESE,COTTAGE,NONFAT,UNCRMD,DRY,LRG OR SML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113-4E5D-8299-E59E4F72BB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IN"/>
                      <a:t>CHEESE,COTTAGE,LOWFAT,2%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113-4E5D-8299-E59E4F72BB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IN"/>
                      <a:t>CHEESE,COTTAGE,LOWFAT,1%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113-4E5D-8299-E59E4F72BB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IN"/>
                      <a:t>CHEESE,CREAM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113-4E5D-8299-E59E4F72BB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IN"/>
                      <a:t>CHEESE,EDAM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113-4E5D-8299-E59E4F72BB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IN"/>
                      <a:t>CHEESE,FETA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113-4E5D-8299-E59E4F72BB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IN"/>
                      <a:t>CHEESE,FONTINA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113-4E5D-8299-E59E4F72BB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IN"/>
                      <a:t>CHEESE,GJETOST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113-4E5D-8299-E59E4F72BB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IN"/>
                      <a:t>CHEESE,GOUDA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113-4E5D-8299-E59E4F72BB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IN"/>
                      <a:t>CHEESE,GRUYERE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113-4E5D-8299-E59E4F72BB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IN"/>
                      <a:t>CHEESE,LIMBURGER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113-4E5D-8299-E59E4F72BB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IN"/>
                      <a:t>CHEESE,MONTEREY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113-4E5D-8299-E59E4F72BB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IN"/>
                      <a:t>CHEESE,MOZZARELLA,WHL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113-4E5D-8299-E59E4F72BB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IN"/>
                      <a:t>CHEESE,MOZZARELLA,WHL MILK,LO MOIST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113-4E5D-8299-E59E4F72BB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IN"/>
                      <a:t>CHEESE,MOZZARELLA,PART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113-4E5D-8299-E59E4F72BB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IN"/>
                      <a:t>CHEESE,MOZZARELLA,LO MOIST,PART-SKIM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113-4E5D-8299-E59E4F72BB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IN"/>
                      <a:t>CHEESE,MUENSTER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113-4E5D-8299-E59E4F72BB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IN"/>
                      <a:t>CHEESE,NEUFCHATEL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113-4E5D-8299-E59E4F72BB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IN"/>
                      <a:t>CHEESE,PARMESAN,GRATED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113-4E5D-8299-E59E4F72BB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IN"/>
                      <a:t>CHEESE,PARMESAN,HARD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113-4E5D-8299-E59E4F72BB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IN"/>
                      <a:t>CHEESE,PORT DE SALUT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113-4E5D-8299-E59E4F72BB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IN"/>
                      <a:t>CHEESE,PROVOLONE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113-4E5D-8299-E59E4F72BB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IN"/>
                      <a:t>CHEESE,RICOTTA,WHOLE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113-4E5D-8299-E59E4F72BB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IN"/>
                      <a:t>CHEESE,RICOTTA,PART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113-4E5D-8299-E59E4F72BB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IN"/>
                      <a:t>CHEESE,ROMANO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113-4E5D-8299-E59E4F72BB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IN"/>
                      <a:t>CHEESE,ROQUEFORT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113-4E5D-8299-E59E4F72BB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IN"/>
                      <a:t>CHEESE,SWISS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113-4E5D-8299-E59E4F72BB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IN"/>
                      <a:t>CHEESE,TILSIT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113-4E5D-8299-E59E4F72BB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IN"/>
                      <a:t>CHEESE,PAST PROCESS,AMERICAN,FORT W/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113-4E5D-8299-E59E4F72BB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IN"/>
                      <a:t>CHEESE,PAST PROCESS,PIMENTO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113-4E5D-8299-E59E4F72BB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IN"/>
                      <a:t>CHEESE,PAST PROCESS,SWISS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113-4E5D-8299-E59E4F72BB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IN"/>
                      <a:t>CHEESE FD,COLD PK,AMERICAN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113-4E5D-8299-E59E4F72BB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IN"/>
                      <a:t>CHEESE FD,PAST PROCESS,AMERICAN,VITAMIN D FORT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113-4E5D-8299-E59E4F72BB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IN"/>
                      <a:t>CHEESE FD,PAST PROCESS,SWISS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113-4E5D-8299-E59E4F72BB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IN"/>
                      <a:t>CHEESE SPRD,PAST PROCESS,AMERICAN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113-4E5D-8299-E59E4F72BB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IN"/>
                      <a:t>CREAM,FLUID,HALF AND HALF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113-4E5D-8299-E59E4F72BB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IN"/>
                      <a:t>CREAM,FLUID,LT (COFFEE CRM OR TABLE CRM)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113-4E5D-8299-E59E4F72BB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IN"/>
                      <a:t>CREAM,FLUID,LT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113-4E5D-8299-E59E4F72BB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IN"/>
                      <a:t>CREAM,FLUID,HVY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113-4E5D-8299-E59E4F72BB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IN"/>
                      <a:t>CREAM,WHIPPED,CRM TOPPING,PRESSURIZED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113-4E5D-8299-E59E4F72BB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IN"/>
                      <a:t>CREAM,SOUR,RED FAT,CULTURED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113-4E5D-8299-E59E4F72BB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IN"/>
                      <a:t>CREAM,SOUR,CULTURED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113-4E5D-8299-E59E4F72BB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IN"/>
                      <a:t>EGGNOG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113-4E5D-8299-E59E4F72BB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IN"/>
                      <a:t>SOUR DRSNG,NON-BUTTERFAT,CULTURED,FILLED CREAM-TYPE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113-4E5D-8299-E59E4F72BB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IN"/>
                      <a:t>MILK,FILLED,FLUID,W/BLEND OF HYDR VEG OILS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113-4E5D-8299-E59E4F72BB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IN"/>
                      <a:t>MILK,FILLED,FLUID,W/LAURIC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113-4E5D-8299-E59E4F72BB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IN"/>
                      <a:t>CHEESE,AMERICAN,NONFAT OR FAT FREE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113-4E5D-8299-E59E4F72BB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IN"/>
                      <a:t>CREAM SUB,LIQ,W/HYDR VEG OIL&amp;SOY PROT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113-4E5D-8299-E59E4F72BB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IN"/>
                      <a:t>CREAM SUB,LIQ,W/LAURIC ACID OIL&amp;NA CASEINATE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113-4E5D-8299-E59E4F72BB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IN"/>
                      <a:t>CREAM SUBSTITUTE,POWDERED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113-4E5D-8299-E59E4F72BB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IN"/>
                      <a:t>DESSERT TOPPING,POWDERED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113-4E5D-8299-E59E4F72BB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IN"/>
                      <a:t>DESSERT TOPPING,PDR,1.5 OZ PREP W/1/2 CUP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113-4E5D-8299-E59E4F72BB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IN"/>
                      <a:t>DESSERT TOPPING,PRESSURIZED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113-4E5D-8299-E59E4F72BB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IN"/>
                      <a:t>DESSERT TOPPING,SEMI SOLID,FRZ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113-4E5D-8299-E59E4F72BB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IN"/>
                      <a:t>SOUR CRM,IMITN,CULTURED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113-4E5D-8299-E59E4F72BB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IN"/>
                      <a:t>MILK SUBSTITUTES,FLUID,W/LAURIC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113-4E5D-8299-E59E4F72BB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IN"/>
                      <a:t>MILK,WHL,3.25% MILKFAT,W/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113-4E5D-8299-E59E4F72BB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IN"/>
                      <a:t>MILK,PRODUCER,FLUID,3.7%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113-4E5D-8299-E59E4F72BB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IN"/>
                      <a:t>MILK,RED FAT,FLUID,2% MILKFAT,W/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113-4E5D-8299-E59E4F72BB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IN"/>
                      <a:t>MILK,RED FAT,FLUID,2% MILKFAT,W/ ADDED NFMS, VIT A &amp; VIT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113-4E5D-8299-E59E4F72BB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IN"/>
                      <a:t>MILK,RED FAT,FLUID,2% MILKFAT,PROT FORT,W/ ADDED VIT A &amp;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113-4E5D-8299-E59E4F72BB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IN"/>
                      <a:t>MILK,LOWFAT,FLUID,1% MILKFAT,W/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113-4E5D-8299-E59E4F72BB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IN"/>
                      <a:t>MILK,LOWFAT,FLUID,1% MILKFAT,W/ ADD NONFAT MILK SOL,VIT A/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113-4E5D-8299-E59E4F72BB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IN"/>
                      <a:t>MILK,LOWFAT,FLUID,1% MILKFAT,PROT FORT,W/ ADDED VIT A &amp;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113-4E5D-8299-E59E4F72BB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IN"/>
                      <a:t>MILK,NONFAT,FLUID,W/ ADDED VIT A &amp; VIT D (FAT FREE OR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113-4E5D-8299-E59E4F72BB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IN"/>
                      <a:t>MILK,NONFAT,FLUID,W/ ADDED NONFAT MILK SOL,VIT A &amp; VIT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113-4E5D-8299-E59E4F72BB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IN"/>
                      <a:t>MILK,NONFAT,FLUID,PROT FORT,W/ ADD VIT A &amp; D (FAT FREE/SKIM)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113-4E5D-8299-E59E4F72BB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IN"/>
                      <a:t>MILK,BTTRMLK,FLUID,CULTURED,LOWFAT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113-4E5D-8299-E59E4F72BB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IN"/>
                      <a:t>MILK,LO NA,FLUID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113-4E5D-8299-E59E4F72BB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IN"/>
                      <a:t>MILK,DRY,WHL,W/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113-4E5D-8299-E59E4F72BB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IN"/>
                      <a:t>MILK,DRY,NONFAT,REG,WO/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113-4E5D-8299-E59E4F72BB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IN"/>
                      <a:t>MILK,DRY,NONFAT,INST,W/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113-4E5D-8299-E59E4F72BB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IN"/>
                      <a:t>MILK,DRY,NONFAT,CA 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113-4E5D-8299-E59E4F72BB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IN"/>
                      <a:t>MILK,BUTTERMILK,DRIED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113-4E5D-8299-E59E4F72BB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IN"/>
                      <a:t>MILK,CND,COND,SWTND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113-4E5D-8299-E59E4F72BB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IN"/>
                      <a:t>MILK,CND,EVAP,W/ ADDED VITAMIN D &amp; WO/ ADDED VIT 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A113-4E5D-8299-E59E4F72BB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IN"/>
                      <a:t>MILK,CND,EVAP,NONFAT,W/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A113-4E5D-8299-E59E4F72BB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IN"/>
                      <a:t>MILK,CHOC,FLUID,COMM,WHL,W/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A113-4E5D-8299-E59E4F72BB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IN"/>
                      <a:t>MILK,CHOC,FLUID,COMM,RED 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A113-4E5D-8299-E59E4F72BB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IN"/>
                      <a:t>MILK,CHOC,FLUID,COMM,LOWFAT,W/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A113-4E5D-8299-E59E4F72BB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IN"/>
                      <a:t>MILK,CHOC BEV,HOT COCOA,HOMEMADE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A113-4E5D-8299-E59E4F72BB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IN"/>
                      <a:t>MILK,GOAT,FLUID,W/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A113-4E5D-8299-E59E4F72BB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IN"/>
                      <a:t>MILK,HUMAN,MATURE,FLUID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A113-4E5D-8299-E59E4F72BB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IN"/>
                      <a:t>MILK,INDIAN BUFFALO,FLUID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A113-4E5D-8299-E59E4F72BB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IN"/>
                      <a:t>MILK,SHEEP,FLUID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A113-4E5D-8299-E59E4F72BB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IN"/>
                      <a:t>MILK SHAKES,THICK CHOC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A113-4E5D-8299-E59E4F72BB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XLSTAT_20240405_134419_1_HID2!$A$1:$A$99</c:f>
              <c:numCache>
                <c:formatCode>General</c:formatCode>
                <c:ptCount val="99"/>
                <c:pt idx="0">
                  <c:v>-2.770010466788567</c:v>
                </c:pt>
                <c:pt idx="1">
                  <c:v>-2.6693152229172492</c:v>
                </c:pt>
                <c:pt idx="2">
                  <c:v>-2.9035495123890622</c:v>
                </c:pt>
                <c:pt idx="3">
                  <c:v>1.734422552867533</c:v>
                </c:pt>
                <c:pt idx="4">
                  <c:v>1.243505182836913</c:v>
                </c:pt>
                <c:pt idx="5">
                  <c:v>1.9941909850411978</c:v>
                </c:pt>
                <c:pt idx="6">
                  <c:v>1.9509882963164644</c:v>
                </c:pt>
                <c:pt idx="7">
                  <c:v>1.3737116003663403</c:v>
                </c:pt>
                <c:pt idx="8">
                  <c:v>1.785667254953637</c:v>
                </c:pt>
                <c:pt idx="9">
                  <c:v>1.0609851364915723</c:v>
                </c:pt>
                <c:pt idx="10">
                  <c:v>1.529818828046648</c:v>
                </c:pt>
                <c:pt idx="11">
                  <c:v>-1.7807359408741856</c:v>
                </c:pt>
                <c:pt idx="12">
                  <c:v>-1.6946330745298221</c:v>
                </c:pt>
                <c:pt idx="13">
                  <c:v>-1.7342345383180744</c:v>
                </c:pt>
                <c:pt idx="14">
                  <c:v>-1.5659010878296569</c:v>
                </c:pt>
                <c:pt idx="15">
                  <c:v>-1.734358629325321</c:v>
                </c:pt>
                <c:pt idx="16">
                  <c:v>-1.7657616908505962</c:v>
                </c:pt>
                <c:pt idx="17">
                  <c:v>1.872999920848305</c:v>
                </c:pt>
                <c:pt idx="18">
                  <c:v>3.1990037565171452</c:v>
                </c:pt>
                <c:pt idx="19">
                  <c:v>0.87280074351675396</c:v>
                </c:pt>
                <c:pt idx="20">
                  <c:v>4.4391324470032814</c:v>
                </c:pt>
                <c:pt idx="21">
                  <c:v>1.7370561389722343</c:v>
                </c:pt>
                <c:pt idx="22">
                  <c:v>2.1856132172238789</c:v>
                </c:pt>
                <c:pt idx="23">
                  <c:v>1.4955331233917639</c:v>
                </c:pt>
                <c:pt idx="24">
                  <c:v>1.4788644700082372</c:v>
                </c:pt>
                <c:pt idx="25">
                  <c:v>0.96243773729951776</c:v>
                </c:pt>
                <c:pt idx="26">
                  <c:v>0.3941099940108459</c:v>
                </c:pt>
                <c:pt idx="27">
                  <c:v>0.75910221262003452</c:v>
                </c:pt>
                <c:pt idx="28">
                  <c:v>2.4761855084595124</c:v>
                </c:pt>
                <c:pt idx="29">
                  <c:v>1.2543099515600422</c:v>
                </c:pt>
                <c:pt idx="30">
                  <c:v>-1.7150662137549815</c:v>
                </c:pt>
                <c:pt idx="31">
                  <c:v>2.9130453844624333</c:v>
                </c:pt>
                <c:pt idx="32">
                  <c:v>3.0147542680708379</c:v>
                </c:pt>
                <c:pt idx="33">
                  <c:v>1.0034163067494519</c:v>
                </c:pt>
                <c:pt idx="34">
                  <c:v>1.540949478409954</c:v>
                </c:pt>
                <c:pt idx="35">
                  <c:v>-1.1193755027885457</c:v>
                </c:pt>
                <c:pt idx="36">
                  <c:v>-0.87743306801363308</c:v>
                </c:pt>
                <c:pt idx="37">
                  <c:v>2.3927991450639805</c:v>
                </c:pt>
                <c:pt idx="38">
                  <c:v>2.0922384811666026</c:v>
                </c:pt>
                <c:pt idx="39">
                  <c:v>2.6829535524811039</c:v>
                </c:pt>
                <c:pt idx="40">
                  <c:v>1.6669547667754046</c:v>
                </c:pt>
                <c:pt idx="41">
                  <c:v>1.7173372361938557</c:v>
                </c:pt>
                <c:pt idx="42">
                  <c:v>1.40573157191256</c:v>
                </c:pt>
                <c:pt idx="43">
                  <c:v>1.6575182368052235</c:v>
                </c:pt>
                <c:pt idx="44">
                  <c:v>1.4599321851782419</c:v>
                </c:pt>
                <c:pt idx="45">
                  <c:v>1.1212470077135859</c:v>
                </c:pt>
                <c:pt idx="46">
                  <c:v>1.7918784720490042</c:v>
                </c:pt>
                <c:pt idx="47">
                  <c:v>1.2219170028170436</c:v>
                </c:pt>
                <c:pt idx="48">
                  <c:v>-2.3397705920288683</c:v>
                </c:pt>
                <c:pt idx="49">
                  <c:v>-2.5304567012201291</c:v>
                </c:pt>
                <c:pt idx="50">
                  <c:v>-2.6048471641057902</c:v>
                </c:pt>
                <c:pt idx="51">
                  <c:v>-2.561777655912429</c:v>
                </c:pt>
                <c:pt idx="52">
                  <c:v>-2.3049662356980609</c:v>
                </c:pt>
                <c:pt idx="53">
                  <c:v>-2.3069441756775242</c:v>
                </c:pt>
                <c:pt idx="54">
                  <c:v>-2.0718546908689954</c:v>
                </c:pt>
                <c:pt idx="55">
                  <c:v>-1.8148943511814728</c:v>
                </c:pt>
                <c:pt idx="56">
                  <c:v>-2.4014342563981042</c:v>
                </c:pt>
                <c:pt idx="57">
                  <c:v>-2.4020792254855814</c:v>
                </c:pt>
                <c:pt idx="58">
                  <c:v>-2.3767343627227953</c:v>
                </c:pt>
                <c:pt idx="59">
                  <c:v>7.5240689164632482</c:v>
                </c:pt>
                <c:pt idx="60">
                  <c:v>-3.3640780446396756</c:v>
                </c:pt>
                <c:pt idx="61">
                  <c:v>-3.3065259972987615</c:v>
                </c:pt>
                <c:pt idx="62">
                  <c:v>-0.34380069896122684</c:v>
                </c:pt>
                <c:pt idx="63">
                  <c:v>-1.777010267056649</c:v>
                </c:pt>
                <c:pt idx="64">
                  <c:v>-2.1476648216577292</c:v>
                </c:pt>
                <c:pt idx="65">
                  <c:v>-3.1451568572930326</c:v>
                </c:pt>
                <c:pt idx="66">
                  <c:v>-2.8586096892316029</c:v>
                </c:pt>
                <c:pt idx="67">
                  <c:v>-2.6714218443740192</c:v>
                </c:pt>
                <c:pt idx="68">
                  <c:v>-2.6547786995833613</c:v>
                </c:pt>
                <c:pt idx="69">
                  <c:v>-2.3176880833561926</c:v>
                </c:pt>
                <c:pt idx="70">
                  <c:v>-2.2685186614853445</c:v>
                </c:pt>
                <c:pt idx="71">
                  <c:v>-2.3043388456406961</c:v>
                </c:pt>
                <c:pt idx="72">
                  <c:v>-2.2391344693294459</c:v>
                </c:pt>
                <c:pt idx="73">
                  <c:v>-2.0306672901917668</c:v>
                </c:pt>
                <c:pt idx="74">
                  <c:v>-2.3648240272683645</c:v>
                </c:pt>
                <c:pt idx="75">
                  <c:v>-2.240868276307542</c:v>
                </c:pt>
                <c:pt idx="76">
                  <c:v>-2.0457746177404359</c:v>
                </c:pt>
                <c:pt idx="77">
                  <c:v>-2.285625260414323</c:v>
                </c:pt>
                <c:pt idx="78">
                  <c:v>-2.1674411979782686</c:v>
                </c:pt>
                <c:pt idx="79">
                  <c:v>-2.0581921786409358</c:v>
                </c:pt>
                <c:pt idx="80">
                  <c:v>-2.4258296736597411</c:v>
                </c:pt>
                <c:pt idx="81">
                  <c:v>-2.5730648906427751</c:v>
                </c:pt>
                <c:pt idx="82">
                  <c:v>7.914107185464629</c:v>
                </c:pt>
                <c:pt idx="83">
                  <c:v>10.635532765419544</c:v>
                </c:pt>
                <c:pt idx="84">
                  <c:v>11.069285199887933</c:v>
                </c:pt>
                <c:pt idx="85">
                  <c:v>7.7336959006770796</c:v>
                </c:pt>
                <c:pt idx="86">
                  <c:v>9.9952971732000435</c:v>
                </c:pt>
                <c:pt idx="87">
                  <c:v>0.90196589734951338</c:v>
                </c:pt>
                <c:pt idx="88">
                  <c:v>-1.1608989891600654</c:v>
                </c:pt>
                <c:pt idx="89">
                  <c:v>-1.0045475316315069</c:v>
                </c:pt>
                <c:pt idx="90">
                  <c:v>-2.1848430636163205</c:v>
                </c:pt>
                <c:pt idx="91">
                  <c:v>-2.1732171510750566</c:v>
                </c:pt>
                <c:pt idx="92">
                  <c:v>-2.0200990623186605</c:v>
                </c:pt>
                <c:pt idx="93">
                  <c:v>-1.8179347276139031</c:v>
                </c:pt>
                <c:pt idx="94">
                  <c:v>-2.2309022290824885</c:v>
                </c:pt>
                <c:pt idx="95">
                  <c:v>-2.4873901641340188</c:v>
                </c:pt>
                <c:pt idx="96">
                  <c:v>-1.8251221594038327</c:v>
                </c:pt>
                <c:pt idx="97">
                  <c:v>-1.0198683936810176</c:v>
                </c:pt>
                <c:pt idx="98">
                  <c:v>-1.6950929685149521</c:v>
                </c:pt>
              </c:numCache>
            </c:numRef>
          </c:xVal>
          <c:yVal>
            <c:numRef>
              <c:f>XLSTAT_20240405_134419_1_HID2!$B$1:$B$99</c:f>
              <c:numCache>
                <c:formatCode>General</c:formatCode>
                <c:ptCount val="99"/>
                <c:pt idx="0">
                  <c:v>5.1631674639664942</c:v>
                </c:pt>
                <c:pt idx="1">
                  <c:v>5.2121028939294094</c:v>
                </c:pt>
                <c:pt idx="2">
                  <c:v>6.6204529506929806</c:v>
                </c:pt>
                <c:pt idx="3">
                  <c:v>1.0655772934224625</c:v>
                </c:pt>
                <c:pt idx="4">
                  <c:v>2.0481183279592527</c:v>
                </c:pt>
                <c:pt idx="5">
                  <c:v>0.88145056911490305</c:v>
                </c:pt>
                <c:pt idx="6">
                  <c:v>0.90665248750559024</c:v>
                </c:pt>
                <c:pt idx="7">
                  <c:v>1.9858608101360067</c:v>
                </c:pt>
                <c:pt idx="8">
                  <c:v>2.5250301818908549</c:v>
                </c:pt>
                <c:pt idx="9">
                  <c:v>1.5386720705350101</c:v>
                </c:pt>
                <c:pt idx="10">
                  <c:v>2.3354616851339181</c:v>
                </c:pt>
                <c:pt idx="11">
                  <c:v>-0.97937721050555293</c:v>
                </c:pt>
                <c:pt idx="12">
                  <c:v>-1.4918653038564511</c:v>
                </c:pt>
                <c:pt idx="13">
                  <c:v>-1.2453165293960793</c:v>
                </c:pt>
                <c:pt idx="14">
                  <c:v>-0.99442547201084353</c:v>
                </c:pt>
                <c:pt idx="15">
                  <c:v>-1.1856353886957498</c:v>
                </c:pt>
                <c:pt idx="16">
                  <c:v>1.2914425077294585</c:v>
                </c:pt>
                <c:pt idx="17">
                  <c:v>1.9218402591999519</c:v>
                </c:pt>
                <c:pt idx="18">
                  <c:v>-0.25146525038021167</c:v>
                </c:pt>
                <c:pt idx="19">
                  <c:v>1.9822948932692444</c:v>
                </c:pt>
                <c:pt idx="20">
                  <c:v>-0.82222849977664159</c:v>
                </c:pt>
                <c:pt idx="21">
                  <c:v>1.6079030601955093</c:v>
                </c:pt>
                <c:pt idx="22">
                  <c:v>2.2494045071718975</c:v>
                </c:pt>
                <c:pt idx="23">
                  <c:v>1.3766225668340182</c:v>
                </c:pt>
                <c:pt idx="24">
                  <c:v>2.1187926480743546</c:v>
                </c:pt>
                <c:pt idx="25">
                  <c:v>1.4224695930286984</c:v>
                </c:pt>
                <c:pt idx="26">
                  <c:v>1.3502756144093266</c:v>
                </c:pt>
                <c:pt idx="27">
                  <c:v>0.88598237228904364</c:v>
                </c:pt>
                <c:pt idx="28">
                  <c:v>1.5623038367863726</c:v>
                </c:pt>
                <c:pt idx="29">
                  <c:v>2.104051305286804</c:v>
                </c:pt>
                <c:pt idx="30">
                  <c:v>0.43420761487781961</c:v>
                </c:pt>
                <c:pt idx="31">
                  <c:v>2.6518994245559928</c:v>
                </c:pt>
                <c:pt idx="32">
                  <c:v>2.4196732994260901</c:v>
                </c:pt>
                <c:pt idx="33">
                  <c:v>2.0720098993317073</c:v>
                </c:pt>
                <c:pt idx="34">
                  <c:v>1.9467350203041198</c:v>
                </c:pt>
                <c:pt idx="35">
                  <c:v>0.15169975405413774</c:v>
                </c:pt>
                <c:pt idx="36">
                  <c:v>-4.432142326262585E-2</c:v>
                </c:pt>
                <c:pt idx="37">
                  <c:v>1.9924197442036224</c:v>
                </c:pt>
                <c:pt idx="38">
                  <c:v>1.4615833679551946</c:v>
                </c:pt>
                <c:pt idx="39">
                  <c:v>1.8423734306664434</c:v>
                </c:pt>
                <c:pt idx="40">
                  <c:v>1.5495380927565481</c:v>
                </c:pt>
                <c:pt idx="41">
                  <c:v>2.746182663788443</c:v>
                </c:pt>
                <c:pt idx="42">
                  <c:v>1.673498237868537</c:v>
                </c:pt>
                <c:pt idx="43">
                  <c:v>2.1767550935826003</c:v>
                </c:pt>
                <c:pt idx="44">
                  <c:v>0.92212358974014785</c:v>
                </c:pt>
                <c:pt idx="45">
                  <c:v>1.3548390407530473</c:v>
                </c:pt>
                <c:pt idx="46">
                  <c:v>1.7698862356276033</c:v>
                </c:pt>
                <c:pt idx="47">
                  <c:v>0.78966007736569332</c:v>
                </c:pt>
                <c:pt idx="48">
                  <c:v>-0.81591374113327919</c:v>
                </c:pt>
                <c:pt idx="49">
                  <c:v>-0.15619700462512098</c:v>
                </c:pt>
                <c:pt idx="50">
                  <c:v>0.84971362903066938</c:v>
                </c:pt>
                <c:pt idx="51">
                  <c:v>1.5562762513242896</c:v>
                </c:pt>
                <c:pt idx="52">
                  <c:v>6.9710887353717263E-2</c:v>
                </c:pt>
                <c:pt idx="53">
                  <c:v>-0.68924902270318267</c:v>
                </c:pt>
                <c:pt idx="54">
                  <c:v>-0.17208551279584638</c:v>
                </c:pt>
                <c:pt idx="55">
                  <c:v>-1.3737350729358524</c:v>
                </c:pt>
                <c:pt idx="56">
                  <c:v>-0.20845510909858794</c:v>
                </c:pt>
                <c:pt idx="57">
                  <c:v>-1.5494894247042994</c:v>
                </c:pt>
                <c:pt idx="58">
                  <c:v>-1.5402377906425269</c:v>
                </c:pt>
                <c:pt idx="59">
                  <c:v>-5.8160511989105732</c:v>
                </c:pt>
                <c:pt idx="60">
                  <c:v>-0.74044932046244394</c:v>
                </c:pt>
                <c:pt idx="61">
                  <c:v>-1.146821300383426</c:v>
                </c:pt>
                <c:pt idx="62">
                  <c:v>4.1598350578037881E-2</c:v>
                </c:pt>
                <c:pt idx="63">
                  <c:v>-0.15928636364245496</c:v>
                </c:pt>
                <c:pt idx="64">
                  <c:v>-1.0147455504863447</c:v>
                </c:pt>
                <c:pt idx="65">
                  <c:v>-0.35510365182273163</c:v>
                </c:pt>
                <c:pt idx="66">
                  <c:v>-0.2269037306494093</c:v>
                </c:pt>
                <c:pt idx="67">
                  <c:v>-5.7989958159435168E-2</c:v>
                </c:pt>
                <c:pt idx="68">
                  <c:v>-1.1734088534012588</c:v>
                </c:pt>
                <c:pt idx="69">
                  <c:v>-1.4410337543955947</c:v>
                </c:pt>
                <c:pt idx="70">
                  <c:v>-1.5903111039999478</c:v>
                </c:pt>
                <c:pt idx="71">
                  <c:v>-1.4788383028064462</c:v>
                </c:pt>
                <c:pt idx="72">
                  <c:v>-1.5432219129707982</c:v>
                </c:pt>
                <c:pt idx="73">
                  <c:v>-1.7366382696066451</c:v>
                </c:pt>
                <c:pt idx="74">
                  <c:v>-1.443937378960005</c:v>
                </c:pt>
                <c:pt idx="75">
                  <c:v>-1.5850501713678784</c:v>
                </c:pt>
                <c:pt idx="76">
                  <c:v>-1.6052629227800119</c:v>
                </c:pt>
                <c:pt idx="77">
                  <c:v>-1.551532218919498</c:v>
                </c:pt>
                <c:pt idx="78">
                  <c:v>-1.6816479834880498</c:v>
                </c:pt>
                <c:pt idx="79">
                  <c:v>-1.6359987031805903</c:v>
                </c:pt>
                <c:pt idx="80">
                  <c:v>-1.6886088409921511</c:v>
                </c:pt>
                <c:pt idx="81">
                  <c:v>-1.423424419063537</c:v>
                </c:pt>
                <c:pt idx="82">
                  <c:v>-1.4131731430312768</c:v>
                </c:pt>
                <c:pt idx="83">
                  <c:v>-3.5514998933341859</c:v>
                </c:pt>
                <c:pt idx="84">
                  <c:v>-1.8044447091168139</c:v>
                </c:pt>
                <c:pt idx="85">
                  <c:v>-2.0939061850961931</c:v>
                </c:pt>
                <c:pt idx="86">
                  <c:v>-3.2904780610190589</c:v>
                </c:pt>
                <c:pt idx="87">
                  <c:v>-2.1028173751790296</c:v>
                </c:pt>
                <c:pt idx="88">
                  <c:v>-1.3314989732711657</c:v>
                </c:pt>
                <c:pt idx="89">
                  <c:v>-1.4482076001164463</c:v>
                </c:pt>
                <c:pt idx="90">
                  <c:v>-2.3983312404686314</c:v>
                </c:pt>
                <c:pt idx="91">
                  <c:v>-2.2307544084699158</c:v>
                </c:pt>
                <c:pt idx="92">
                  <c:v>-2.211623635530914</c:v>
                </c:pt>
                <c:pt idx="93">
                  <c:v>-2.4675485962730557</c:v>
                </c:pt>
                <c:pt idx="94">
                  <c:v>-1.7102928070770587</c:v>
                </c:pt>
                <c:pt idx="95">
                  <c:v>-2.1746400160910189</c:v>
                </c:pt>
                <c:pt idx="96">
                  <c:v>-1.6825742794333158</c:v>
                </c:pt>
                <c:pt idx="97">
                  <c:v>-2.0116273744640742</c:v>
                </c:pt>
                <c:pt idx="98">
                  <c:v>-2.0886316387618087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13-4E5D-8299-E59E4F72B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451408"/>
        <c:axId val="1592450928"/>
      </c:scatterChart>
      <c:valAx>
        <c:axId val="1592451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F1 (40.48 %)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592450928"/>
        <c:crosses val="autoZero"/>
        <c:crossBetween val="midCat"/>
      </c:valAx>
      <c:valAx>
        <c:axId val="159245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F2 (16.84 %)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15924514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Biplot (axes F1 and F2: 57.33 %)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Energy_kcal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2F5-47B2-B916-F36407ABA925}"/>
                </c:ext>
              </c:extLst>
            </c:dLbl>
            <c:dLbl>
              <c:idx val="1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Protein_g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2F5-47B2-B916-F36407ABA925}"/>
                </c:ext>
              </c:extLst>
            </c:dLbl>
            <c:dLbl>
              <c:idx val="2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Fat_g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2F5-47B2-B916-F36407ABA925}"/>
                </c:ext>
              </c:extLst>
            </c:dLbl>
            <c:dLbl>
              <c:idx val="3"/>
              <c:layout>
                <c:manualLayout>
                  <c:x val="-1.7361111111111237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Carb_g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2F5-47B2-B916-F36407ABA925}"/>
                </c:ext>
              </c:extLst>
            </c:dLbl>
            <c:dLbl>
              <c:idx val="4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Sugar_g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2F5-47B2-B916-F36407ABA925}"/>
                </c:ext>
              </c:extLst>
            </c:dLbl>
            <c:dLbl>
              <c:idx val="5"/>
              <c:layout>
                <c:manualLayout>
                  <c:x val="-0.1046875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Fiber_g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2F5-47B2-B916-F36407ABA925}"/>
                </c:ext>
              </c:extLst>
            </c:dLbl>
            <c:dLbl>
              <c:idx val="6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VitA_mcg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2F5-47B2-B916-F36407ABA925}"/>
                </c:ext>
              </c:extLst>
            </c:dLbl>
            <c:dLbl>
              <c:idx val="7"/>
              <c:layout>
                <c:manualLayout>
                  <c:x val="-1.736111111111111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VitB6_mg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2F5-47B2-B916-F36407ABA925}"/>
                </c:ext>
              </c:extLst>
            </c:dLbl>
            <c:dLbl>
              <c:idx val="8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VitB12_mcg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2F5-47B2-B916-F36407ABA925}"/>
                </c:ext>
              </c:extLst>
            </c:dLbl>
            <c:dLbl>
              <c:idx val="9"/>
              <c:layout>
                <c:manualLayout>
                  <c:x val="-1.7361111111111174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2F5-47B2-B916-F36407ABA925}"/>
                </c:ext>
              </c:extLst>
            </c:dLbl>
            <c:dLbl>
              <c:idx val="10"/>
              <c:layout>
                <c:manualLayout>
                  <c:x val="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2F5-47B2-B916-F36407ABA925}"/>
                </c:ext>
              </c:extLst>
            </c:dLbl>
            <c:dLbl>
              <c:idx val="11"/>
              <c:layout>
                <c:manualLayout>
                  <c:x val="-1.736111111111111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Folate_mcg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2F5-47B2-B916-F36407ABA925}"/>
                </c:ext>
              </c:extLst>
            </c:dLbl>
            <c:dLbl>
              <c:idx val="12"/>
              <c:layout>
                <c:manualLayout>
                  <c:x val="-1.736111111111111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Niacin_mg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2F5-47B2-B916-F36407ABA925}"/>
                </c:ext>
              </c:extLst>
            </c:dLbl>
            <c:dLbl>
              <c:idx val="13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Riboflavin_mg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B2F5-47B2-B916-F36407ABA925}"/>
                </c:ext>
              </c:extLst>
            </c:dLbl>
            <c:dLbl>
              <c:idx val="14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Thiamin_mg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B2F5-47B2-B916-F36407ABA925}"/>
                </c:ext>
              </c:extLst>
            </c:dLbl>
            <c:dLbl>
              <c:idx val="15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Calcium_mg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B2F5-47B2-B916-F36407ABA925}"/>
                </c:ext>
              </c:extLst>
            </c:dLbl>
            <c:dLbl>
              <c:idx val="16"/>
              <c:layout>
                <c:manualLayout>
                  <c:x val="-1.736111111111111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Copper_mcg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B2F5-47B2-B916-F36407ABA925}"/>
                </c:ext>
              </c:extLst>
            </c:dLbl>
            <c:dLbl>
              <c:idx val="17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Iron_mg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B2F5-47B2-B916-F36407ABA925}"/>
                </c:ext>
              </c:extLst>
            </c:dLbl>
            <c:dLbl>
              <c:idx val="18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Magnesium_mg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B2F5-47B2-B916-F36407ABA925}"/>
                </c:ext>
              </c:extLst>
            </c:dLbl>
            <c:dLbl>
              <c:idx val="19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Manganese_mg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B2F5-47B2-B916-F36407ABA925}"/>
                </c:ext>
              </c:extLst>
            </c:dLbl>
            <c:dLbl>
              <c:idx val="20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Phosphorus_mg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B2F5-47B2-B916-F36407ABA925}"/>
                </c:ext>
              </c:extLst>
            </c:dLbl>
            <c:dLbl>
              <c:idx val="21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Selenium_mcg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2F5-47B2-B916-F36407ABA925}"/>
                </c:ext>
              </c:extLst>
            </c:dLbl>
            <c:dLbl>
              <c:idx val="22"/>
              <c:layout>
                <c:manualLayout>
                  <c:x val="-1.736111111111111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Zinc_mg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B2F5-47B2-B916-F36407ABA9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4A46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XLSTAT_20240405_134419_1_HID3!$A$1:$A$23</c:f>
              <c:numCache>
                <c:formatCode>General</c:formatCode>
                <c:ptCount val="23"/>
                <c:pt idx="0">
                  <c:v>4.0424277629776446</c:v>
                </c:pt>
                <c:pt idx="1">
                  <c:v>8.2804797023745103</c:v>
                </c:pt>
                <c:pt idx="2">
                  <c:v>0.40564311473886255</c:v>
                </c:pt>
                <c:pt idx="3">
                  <c:v>4.6147574774866902</c:v>
                </c:pt>
                <c:pt idx="4">
                  <c:v>3.4004130382262021</c:v>
                </c:pt>
                <c:pt idx="5">
                  <c:v>-1.4023424683928845</c:v>
                </c:pt>
                <c:pt idx="6">
                  <c:v>2.3330751094261695</c:v>
                </c:pt>
                <c:pt idx="7">
                  <c:v>8.0205235334520353</c:v>
                </c:pt>
                <c:pt idx="8">
                  <c:v>8.779755037474434</c:v>
                </c:pt>
                <c:pt idx="9">
                  <c:v>4.7295141533210527</c:v>
                </c:pt>
                <c:pt idx="10">
                  <c:v>-1.8733127184478069</c:v>
                </c:pt>
                <c:pt idx="11">
                  <c:v>6.5385793093642448</c:v>
                </c:pt>
                <c:pt idx="12">
                  <c:v>4.840118538921641</c:v>
                </c:pt>
                <c:pt idx="13">
                  <c:v>8.683645549781394</c:v>
                </c:pt>
                <c:pt idx="14">
                  <c:v>7.5947245601956643</c:v>
                </c:pt>
                <c:pt idx="15">
                  <c:v>8.1279567692279073</c:v>
                </c:pt>
                <c:pt idx="16">
                  <c:v>3.4547204351077538</c:v>
                </c:pt>
                <c:pt idx="17">
                  <c:v>4.4023672297728744</c:v>
                </c:pt>
                <c:pt idx="18">
                  <c:v>8.8554281599103462</c:v>
                </c:pt>
                <c:pt idx="19">
                  <c:v>4.9752689474146246E-2</c:v>
                </c:pt>
                <c:pt idx="20">
                  <c:v>8.5437284604588957</c:v>
                </c:pt>
                <c:pt idx="21">
                  <c:v>7.9435281089131315</c:v>
                </c:pt>
                <c:pt idx="22">
                  <c:v>8.2025948338189885</c:v>
                </c:pt>
              </c:numCache>
            </c:numRef>
          </c:xVal>
          <c:yVal>
            <c:numRef>
              <c:f>XLSTAT_20240405_134419_1_HID3!$B$1:$B$23</c:f>
              <c:numCache>
                <c:formatCode>General</c:formatCode>
                <c:ptCount val="23"/>
                <c:pt idx="0">
                  <c:v>11.304022354605477</c:v>
                </c:pt>
                <c:pt idx="1">
                  <c:v>4.6681985330133484</c:v>
                </c:pt>
                <c:pt idx="2">
                  <c:v>13.181038027634242</c:v>
                </c:pt>
                <c:pt idx="3">
                  <c:v>-6.0001076852135604</c:v>
                </c:pt>
                <c:pt idx="4">
                  <c:v>-5.3625331817229069</c:v>
                </c:pt>
                <c:pt idx="5">
                  <c:v>-3.8697161937709148</c:v>
                </c:pt>
                <c:pt idx="6">
                  <c:v>10.983906524128953</c:v>
                </c:pt>
                <c:pt idx="7">
                  <c:v>-4.0757282938571029</c:v>
                </c:pt>
                <c:pt idx="8">
                  <c:v>5.3371991089944445E-3</c:v>
                </c:pt>
                <c:pt idx="9">
                  <c:v>-6.6257385644114279</c:v>
                </c:pt>
                <c:pt idx="10">
                  <c:v>8.5984616257777571</c:v>
                </c:pt>
                <c:pt idx="11">
                  <c:v>0.28863366840348431</c:v>
                </c:pt>
                <c:pt idx="12">
                  <c:v>-5.3916001445134656</c:v>
                </c:pt>
                <c:pt idx="13">
                  <c:v>-2.8599852219171402</c:v>
                </c:pt>
                <c:pt idx="14">
                  <c:v>-6.5253423598872766</c:v>
                </c:pt>
                <c:pt idx="15">
                  <c:v>4.2265622174249033</c:v>
                </c:pt>
                <c:pt idx="16">
                  <c:v>-5.2032116178660708</c:v>
                </c:pt>
                <c:pt idx="17">
                  <c:v>5.0921614789822014</c:v>
                </c:pt>
                <c:pt idx="18">
                  <c:v>-3.6951578682636068</c:v>
                </c:pt>
                <c:pt idx="19">
                  <c:v>-0.38458850153538959</c:v>
                </c:pt>
                <c:pt idx="20">
                  <c:v>3.2015084271958236</c:v>
                </c:pt>
                <c:pt idx="21">
                  <c:v>4.1609867713480906</c:v>
                </c:pt>
                <c:pt idx="22">
                  <c:v>4.5598532499255811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5-47B2-B916-F36407ABA925}"/>
            </c:ext>
          </c:extLst>
        </c:ser>
        <c:ser>
          <c:idx val="1"/>
          <c:order val="1"/>
          <c:tx>
            <c:v>Active observations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BUTTER,WITH SALT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B2F5-47B2-B916-F36407ABA9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BUTTER,WHIPPED,WITH SALT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B2F5-47B2-B916-F36407ABA9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BUTTER OIL,ANHYDROUS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B2F5-47B2-B916-F36407ABA9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CHEESE,BLUE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B2F5-47B2-B916-F36407ABA9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CHEESE,BRICK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B2F5-47B2-B916-F36407ABA9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CHEESE,BRIE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B2F5-47B2-B916-F36407ABA9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CHEESE,CAMEMBERT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B2F5-47B2-B916-F36407ABA9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CHEESE,CARAWAY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B2F5-47B2-B916-F36407ABA9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CHEESE,CHEDDAR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B2F5-47B2-B916-F36407ABA9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CHEESE,CHESHIRE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B2F5-47B2-B916-F36407ABA9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CHEESE,COLBY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B2F5-47B2-B916-F36407ABA9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CHEESE,COTTAGE,CRMD,LRG OR SML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B2F5-47B2-B916-F36407ABA9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CHEESE,COTTAGE,CRMD,W/FRUIT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B2F5-47B2-B916-F36407ABA9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CHEESE,COTTAGE,NONFAT,UNCRMD,DRY,LRG OR SML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B2F5-47B2-B916-F36407ABA9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CHEESE,COTTAGE,LOWFAT,2%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B2F5-47B2-B916-F36407ABA9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CHEESE,COTTAGE,LOWFAT,1%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B2F5-47B2-B916-F36407ABA9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CHEESE,CREAM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B2F5-47B2-B916-F36407ABA9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CHEESE,EDAM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B2F5-47B2-B916-F36407ABA9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CHEESE,FETA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B2F5-47B2-B916-F36407ABA9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CHEESE,FONTINA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B2F5-47B2-B916-F36407ABA9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CHEESE,GJETOST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B2F5-47B2-B916-F36407ABA9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CHEESE,GOUDA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B2F5-47B2-B916-F36407ABA9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CHEESE,GRUYERE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B2F5-47B2-B916-F36407ABA9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CHEESE,LIMBURGER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B2F5-47B2-B916-F36407ABA9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CHEESE,MONTEREY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B2F5-47B2-B916-F36407ABA9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CHEESE,MOZZARELLA,WHL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B2F5-47B2-B916-F36407ABA9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CHEESE,MOZZARELLA,WHL MILK,LO MOIST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B2F5-47B2-B916-F36407ABA9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CHEESE,MOZZARELLA,PART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B2F5-47B2-B916-F36407ABA9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CHEESE,MOZZARELLA,LO MOIST,PART-SKIM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B2F5-47B2-B916-F36407ABA9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CHEESE,MUENSTER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B2F5-47B2-B916-F36407ABA9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CHEESE,NEUFCHATEL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B2F5-47B2-B916-F36407ABA9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CHEESE,PARMESAN,GRATED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B2F5-47B2-B916-F36407ABA9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CHEESE,PARMESAN,HARD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B2F5-47B2-B916-F36407ABA9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CHEESE,PORT DE SALUT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B2F5-47B2-B916-F36407ABA9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CHEESE,PROVOLONE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B2F5-47B2-B916-F36407ABA9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CHEESE,RICOTTA,WHOLE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B2F5-47B2-B916-F36407ABA9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CHEESE,RICOTTA,PART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B2F5-47B2-B916-F36407ABA9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CHEESE,ROMANO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B2F5-47B2-B916-F36407ABA9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CHEESE,ROQUEFORT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B2F5-47B2-B916-F36407ABA9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CHEESE,SWISS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B2F5-47B2-B916-F36407ABA9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CHEESE,TILSIT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B2F5-47B2-B916-F36407ABA9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CHEESE,PAST PROCESS,AMERICAN,FORT W/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B2F5-47B2-B916-F36407ABA9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CHEESE,PAST PROCESS,PIMENTO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B2F5-47B2-B916-F36407ABA9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CHEESE,PAST PROCESS,SWISS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B2F5-47B2-B916-F36407ABA9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CHEESE FD,COLD PK,AMERICAN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B2F5-47B2-B916-F36407ABA9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CHEESE FD,PAST PROCESS,AMERICAN,VITAMIN D FORT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B2F5-47B2-B916-F36407ABA9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CHEESE FD,PAST PROCESS,SWISS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B2F5-47B2-B916-F36407ABA9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CHEESE SPRD,PAST PROCESS,AMERICAN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B2F5-47B2-B916-F36407ABA9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CREAM,FLUID,HALF AND HALF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B2F5-47B2-B916-F36407ABA9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CREAM,FLUID,LT (COFFEE CRM OR TABLE CRM)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B2F5-47B2-B916-F36407ABA9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CREAM,FLUID,LT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B2F5-47B2-B916-F36407ABA9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CREAM,FLUID,HVY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B2F5-47B2-B916-F36407ABA9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CREAM,WHIPPED,CRM TOPPING,PRESSURIZED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B2F5-47B2-B916-F36407ABA9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CREAM,SOUR,RED FAT,CULTURED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B2F5-47B2-B916-F36407ABA9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CREAM,SOUR,CULTURED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B2F5-47B2-B916-F36407ABA9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EGGNOG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B2F5-47B2-B916-F36407ABA9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SOUR DRSNG,NON-BUTTERFAT,CULTURED,FILLED CREAM-TYPE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B2F5-47B2-B916-F36407ABA9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MILK,FILLED,FLUID,W/BLEND OF HYDR VEG OILS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B2F5-47B2-B916-F36407ABA9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MILK,FILLED,FLUID,W/LAURIC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B2F5-47B2-B916-F36407ABA9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CHEESE,AMERICAN,NONFAT OR FAT FREE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B2F5-47B2-B916-F36407ABA9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CREAM SUB,LIQ,W/HYDR VEG OIL&amp;SOY PROT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B2F5-47B2-B916-F36407ABA9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CREAM SUB,LIQ,W/LAURIC ACID OIL&amp;NA CASEINATE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B2F5-47B2-B916-F36407ABA9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CREAM SUBSTITUTE,POWDERED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B2F5-47B2-B916-F36407ABA9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DESSERT TOPPING,POWDERED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B2F5-47B2-B916-F36407ABA9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DESSERT TOPPING,PDR,1.5 OZ PREP W/1/2 CUP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B2F5-47B2-B916-F36407ABA9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DESSERT TOPPING,PRESSURIZED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B2F5-47B2-B916-F36407ABA9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DESSERT TOPPING,SEMI SOLID,FRZ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B2F5-47B2-B916-F36407ABA9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SOUR CRM,IMITN,CULTURED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B2F5-47B2-B916-F36407ABA9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MILK SUBSTITUTES,FLUID,W/LAURIC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B2F5-47B2-B916-F36407ABA9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MILK,WHL,3.25% MILKFAT,W/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B2F5-47B2-B916-F36407ABA9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MILK,PRODUCER,FLUID,3.7%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B2F5-47B2-B916-F36407ABA9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MILK,RED FAT,FLUID,2% MILKFAT,W/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B2F5-47B2-B916-F36407ABA9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MILK,RED FAT,FLUID,2% MILKFAT,W/ ADDED NFMS, VIT A &amp; VIT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B2F5-47B2-B916-F36407ABA9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MILK,RED FAT,FLUID,2% MILKFAT,PROT FORT,W/ ADDED VIT A &amp;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B2F5-47B2-B916-F36407ABA9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MILK,LOWFAT,FLUID,1% MILKFAT,W/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B2F5-47B2-B916-F36407ABA9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MILK,LOWFAT,FLUID,1% MILKFAT,W/ ADD NONFAT MILK SOL,VIT A/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B2F5-47B2-B916-F36407ABA9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MILK,LOWFAT,FLUID,1% MILKFAT,PROT FORT,W/ ADDED VIT A &amp;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B2F5-47B2-B916-F36407ABA9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MILK,NONFAT,FLUID,W/ ADDED VIT A &amp; VIT D (FAT FREE OR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B2F5-47B2-B916-F36407ABA9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MILK,NONFAT,FLUID,W/ ADDED NONFAT MILK SOL,VIT A &amp; VIT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B2F5-47B2-B916-F36407ABA9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MILK,NONFAT,FLUID,PROT FORT,W/ ADD VIT A &amp; D (FAT FREE/SKIM)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B2F5-47B2-B916-F36407ABA9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MILK,BTTRMLK,FLUID,CULTURED,LOWFAT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B2F5-47B2-B916-F36407ABA9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MILK,LO NA,FLUID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B2F5-47B2-B916-F36407ABA9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MILK,DRY,WHL,W/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B2F5-47B2-B916-F36407ABA9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MILK,DRY,NONFAT,REG,WO/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B2F5-47B2-B916-F36407ABA9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MILK,DRY,NONFAT,INST,W/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B2F5-47B2-B916-F36407ABA9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MILK,DRY,NONFAT,CA 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B2F5-47B2-B916-F36407ABA9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MILK,BUTTERMILK,DRIED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B2F5-47B2-B916-F36407ABA9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MILK,CND,COND,SWTND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B2F5-47B2-B916-F36407ABA9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MILK,CND,EVAP,W/ ADDED VITAMIN D &amp; WO/ ADDED VIT 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B2F5-47B2-B916-F36407ABA9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MILK,CND,EVAP,NONFAT,W/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B2F5-47B2-B916-F36407ABA9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MILK,CHOC,FLUID,COMM,WHL,W/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B2F5-47B2-B916-F36407ABA9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MILK,CHOC,FLUID,COMM,RED 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B2F5-47B2-B916-F36407ABA9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MILK,CHOC,FLUID,COMM,LOWFAT,W/ ADDED VIT A &amp;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B2F5-47B2-B916-F36407ABA9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MILK,CHOC BEV,HOT COCOA,HOMEMADE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B2F5-47B2-B916-F36407ABA9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MILK,GOAT,FLUID,W/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B2F5-47B2-B916-F36407ABA9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MILK,HUMAN,MATURE,FLUID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B2F5-47B2-B916-F36407ABA9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MILK,INDIAN BUFFALO,FLUID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B2F5-47B2-B916-F36407ABA9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MILK,SHEEP,FLUID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B2F5-47B2-B916-F36407ABA9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MILK SHAKES,THICK CHOC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B2F5-47B2-B916-F36407ABA9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XLSTAT_20240405_134419_1_HID3!$C$1:$C$99</c:f>
              <c:numCache>
                <c:formatCode>General</c:formatCode>
                <c:ptCount val="99"/>
                <c:pt idx="0">
                  <c:v>-2.770010466788567</c:v>
                </c:pt>
                <c:pt idx="1">
                  <c:v>-2.6693152229172492</c:v>
                </c:pt>
                <c:pt idx="2">
                  <c:v>-2.9035495123890622</c:v>
                </c:pt>
                <c:pt idx="3">
                  <c:v>1.734422552867533</c:v>
                </c:pt>
                <c:pt idx="4">
                  <c:v>1.243505182836913</c:v>
                </c:pt>
                <c:pt idx="5">
                  <c:v>1.9941909850411978</c:v>
                </c:pt>
                <c:pt idx="6">
                  <c:v>1.9509882963164644</c:v>
                </c:pt>
                <c:pt idx="7">
                  <c:v>1.3737116003663403</c:v>
                </c:pt>
                <c:pt idx="8">
                  <c:v>1.785667254953637</c:v>
                </c:pt>
                <c:pt idx="9">
                  <c:v>1.0609851364915723</c:v>
                </c:pt>
                <c:pt idx="10">
                  <c:v>1.529818828046648</c:v>
                </c:pt>
                <c:pt idx="11">
                  <c:v>-1.7807359408741856</c:v>
                </c:pt>
                <c:pt idx="12">
                  <c:v>-1.6946330745298221</c:v>
                </c:pt>
                <c:pt idx="13">
                  <c:v>-1.7342345383180744</c:v>
                </c:pt>
                <c:pt idx="14">
                  <c:v>-1.5659010878296569</c:v>
                </c:pt>
                <c:pt idx="15">
                  <c:v>-1.734358629325321</c:v>
                </c:pt>
                <c:pt idx="16">
                  <c:v>-1.7657616908505962</c:v>
                </c:pt>
                <c:pt idx="17">
                  <c:v>1.872999920848305</c:v>
                </c:pt>
                <c:pt idx="18">
                  <c:v>3.1990037565171452</c:v>
                </c:pt>
                <c:pt idx="19">
                  <c:v>0.87280074351675396</c:v>
                </c:pt>
                <c:pt idx="20">
                  <c:v>4.4391324470032814</c:v>
                </c:pt>
                <c:pt idx="21">
                  <c:v>1.7370561389722343</c:v>
                </c:pt>
                <c:pt idx="22">
                  <c:v>2.1856132172238789</c:v>
                </c:pt>
                <c:pt idx="23">
                  <c:v>1.4955331233917639</c:v>
                </c:pt>
                <c:pt idx="24">
                  <c:v>1.4788644700082372</c:v>
                </c:pt>
                <c:pt idx="25">
                  <c:v>0.96243773729951776</c:v>
                </c:pt>
                <c:pt idx="26">
                  <c:v>0.3941099940108459</c:v>
                </c:pt>
                <c:pt idx="27">
                  <c:v>0.75910221262003452</c:v>
                </c:pt>
                <c:pt idx="28">
                  <c:v>2.4761855084595124</c:v>
                </c:pt>
                <c:pt idx="29">
                  <c:v>1.2543099515600422</c:v>
                </c:pt>
                <c:pt idx="30">
                  <c:v>-1.7150662137549815</c:v>
                </c:pt>
                <c:pt idx="31">
                  <c:v>2.9130453844624333</c:v>
                </c:pt>
                <c:pt idx="32">
                  <c:v>3.0147542680708379</c:v>
                </c:pt>
                <c:pt idx="33">
                  <c:v>1.0034163067494519</c:v>
                </c:pt>
                <c:pt idx="34">
                  <c:v>1.540949478409954</c:v>
                </c:pt>
                <c:pt idx="35">
                  <c:v>-1.1193755027885457</c:v>
                </c:pt>
                <c:pt idx="36">
                  <c:v>-0.87743306801363308</c:v>
                </c:pt>
                <c:pt idx="37">
                  <c:v>2.3927991450639805</c:v>
                </c:pt>
                <c:pt idx="38">
                  <c:v>2.0922384811666026</c:v>
                </c:pt>
                <c:pt idx="39">
                  <c:v>2.6829535524811039</c:v>
                </c:pt>
                <c:pt idx="40">
                  <c:v>1.6669547667754046</c:v>
                </c:pt>
                <c:pt idx="41">
                  <c:v>1.7173372361938557</c:v>
                </c:pt>
                <c:pt idx="42">
                  <c:v>1.40573157191256</c:v>
                </c:pt>
                <c:pt idx="43">
                  <c:v>1.6575182368052235</c:v>
                </c:pt>
                <c:pt idx="44">
                  <c:v>1.4599321851782419</c:v>
                </c:pt>
                <c:pt idx="45">
                  <c:v>1.1212470077135859</c:v>
                </c:pt>
                <c:pt idx="46">
                  <c:v>1.7918784720490042</c:v>
                </c:pt>
                <c:pt idx="47">
                  <c:v>1.2219170028170436</c:v>
                </c:pt>
                <c:pt idx="48">
                  <c:v>-2.3397705920288683</c:v>
                </c:pt>
                <c:pt idx="49">
                  <c:v>-2.5304567012201291</c:v>
                </c:pt>
                <c:pt idx="50">
                  <c:v>-2.6048471641057902</c:v>
                </c:pt>
                <c:pt idx="51">
                  <c:v>-2.561777655912429</c:v>
                </c:pt>
                <c:pt idx="52">
                  <c:v>-2.3049662356980609</c:v>
                </c:pt>
                <c:pt idx="53">
                  <c:v>-2.3069441756775242</c:v>
                </c:pt>
                <c:pt idx="54">
                  <c:v>-2.0718546908689954</c:v>
                </c:pt>
                <c:pt idx="55">
                  <c:v>-1.8148943511814728</c:v>
                </c:pt>
                <c:pt idx="56">
                  <c:v>-2.4014342563981042</c:v>
                </c:pt>
                <c:pt idx="57">
                  <c:v>-2.4020792254855814</c:v>
                </c:pt>
                <c:pt idx="58">
                  <c:v>-2.3767343627227953</c:v>
                </c:pt>
                <c:pt idx="59">
                  <c:v>7.5240689164632482</c:v>
                </c:pt>
                <c:pt idx="60">
                  <c:v>-3.3640780446396756</c:v>
                </c:pt>
                <c:pt idx="61">
                  <c:v>-3.3065259972987615</c:v>
                </c:pt>
                <c:pt idx="62">
                  <c:v>-0.34380069896122684</c:v>
                </c:pt>
                <c:pt idx="63">
                  <c:v>-1.777010267056649</c:v>
                </c:pt>
                <c:pt idx="64">
                  <c:v>-2.1476648216577292</c:v>
                </c:pt>
                <c:pt idx="65">
                  <c:v>-3.1451568572930326</c:v>
                </c:pt>
                <c:pt idx="66">
                  <c:v>-2.8586096892316029</c:v>
                </c:pt>
                <c:pt idx="67">
                  <c:v>-2.6714218443740192</c:v>
                </c:pt>
                <c:pt idx="68">
                  <c:v>-2.6547786995833613</c:v>
                </c:pt>
                <c:pt idx="69">
                  <c:v>-2.3176880833561926</c:v>
                </c:pt>
                <c:pt idx="70">
                  <c:v>-2.2685186614853445</c:v>
                </c:pt>
                <c:pt idx="71">
                  <c:v>-2.3043388456406961</c:v>
                </c:pt>
                <c:pt idx="72">
                  <c:v>-2.2391344693294459</c:v>
                </c:pt>
                <c:pt idx="73">
                  <c:v>-2.0306672901917668</c:v>
                </c:pt>
                <c:pt idx="74">
                  <c:v>-2.3648240272683645</c:v>
                </c:pt>
                <c:pt idx="75">
                  <c:v>-2.240868276307542</c:v>
                </c:pt>
                <c:pt idx="76">
                  <c:v>-2.0457746177404359</c:v>
                </c:pt>
                <c:pt idx="77">
                  <c:v>-2.285625260414323</c:v>
                </c:pt>
                <c:pt idx="78">
                  <c:v>-2.1674411979782686</c:v>
                </c:pt>
                <c:pt idx="79">
                  <c:v>-2.0581921786409358</c:v>
                </c:pt>
                <c:pt idx="80">
                  <c:v>-2.4258296736597411</c:v>
                </c:pt>
                <c:pt idx="81">
                  <c:v>-2.5730648906427751</c:v>
                </c:pt>
                <c:pt idx="82">
                  <c:v>7.914107185464629</c:v>
                </c:pt>
                <c:pt idx="83">
                  <c:v>10.635532765419544</c:v>
                </c:pt>
                <c:pt idx="84">
                  <c:v>11.069285199887933</c:v>
                </c:pt>
                <c:pt idx="85">
                  <c:v>7.7336959006770796</c:v>
                </c:pt>
                <c:pt idx="86">
                  <c:v>9.9952971732000435</c:v>
                </c:pt>
                <c:pt idx="87">
                  <c:v>0.90196589734951338</c:v>
                </c:pt>
                <c:pt idx="88">
                  <c:v>-1.1608989891600654</c:v>
                </c:pt>
                <c:pt idx="89">
                  <c:v>-1.0045475316315069</c:v>
                </c:pt>
                <c:pt idx="90">
                  <c:v>-2.1848430636163205</c:v>
                </c:pt>
                <c:pt idx="91">
                  <c:v>-2.1732171510750566</c:v>
                </c:pt>
                <c:pt idx="92">
                  <c:v>-2.0200990623186605</c:v>
                </c:pt>
                <c:pt idx="93">
                  <c:v>-1.8179347276139031</c:v>
                </c:pt>
                <c:pt idx="94">
                  <c:v>-2.2309022290824885</c:v>
                </c:pt>
                <c:pt idx="95">
                  <c:v>-2.4873901641340188</c:v>
                </c:pt>
                <c:pt idx="96">
                  <c:v>-1.8251221594038327</c:v>
                </c:pt>
                <c:pt idx="97">
                  <c:v>-1.0198683936810176</c:v>
                </c:pt>
                <c:pt idx="98">
                  <c:v>-1.6950929685149521</c:v>
                </c:pt>
              </c:numCache>
            </c:numRef>
          </c:xVal>
          <c:yVal>
            <c:numRef>
              <c:f>XLSTAT_20240405_134419_1_HID3!$D$1:$D$99</c:f>
              <c:numCache>
                <c:formatCode>General</c:formatCode>
                <c:ptCount val="99"/>
                <c:pt idx="0">
                  <c:v>5.1631674639664942</c:v>
                </c:pt>
                <c:pt idx="1">
                  <c:v>5.2121028939294094</c:v>
                </c:pt>
                <c:pt idx="2">
                  <c:v>6.6204529506929806</c:v>
                </c:pt>
                <c:pt idx="3">
                  <c:v>1.0655772934224625</c:v>
                </c:pt>
                <c:pt idx="4">
                  <c:v>2.0481183279592527</c:v>
                </c:pt>
                <c:pt idx="5">
                  <c:v>0.88145056911490305</c:v>
                </c:pt>
                <c:pt idx="6">
                  <c:v>0.90665248750559024</c:v>
                </c:pt>
                <c:pt idx="7">
                  <c:v>1.9858608101360067</c:v>
                </c:pt>
                <c:pt idx="8">
                  <c:v>2.5250301818908549</c:v>
                </c:pt>
                <c:pt idx="9">
                  <c:v>1.5386720705350101</c:v>
                </c:pt>
                <c:pt idx="10">
                  <c:v>2.3354616851339181</c:v>
                </c:pt>
                <c:pt idx="11">
                  <c:v>-0.97937721050555293</c:v>
                </c:pt>
                <c:pt idx="12">
                  <c:v>-1.4918653038564511</c:v>
                </c:pt>
                <c:pt idx="13">
                  <c:v>-1.2453165293960793</c:v>
                </c:pt>
                <c:pt idx="14">
                  <c:v>-0.99442547201084353</c:v>
                </c:pt>
                <c:pt idx="15">
                  <c:v>-1.1856353886957498</c:v>
                </c:pt>
                <c:pt idx="16">
                  <c:v>1.2914425077294585</c:v>
                </c:pt>
                <c:pt idx="17">
                  <c:v>1.9218402591999519</c:v>
                </c:pt>
                <c:pt idx="18">
                  <c:v>-0.25146525038021167</c:v>
                </c:pt>
                <c:pt idx="19">
                  <c:v>1.9822948932692444</c:v>
                </c:pt>
                <c:pt idx="20">
                  <c:v>-0.82222849977664159</c:v>
                </c:pt>
                <c:pt idx="21">
                  <c:v>1.6079030601955093</c:v>
                </c:pt>
                <c:pt idx="22">
                  <c:v>2.2494045071718975</c:v>
                </c:pt>
                <c:pt idx="23">
                  <c:v>1.3766225668340182</c:v>
                </c:pt>
                <c:pt idx="24">
                  <c:v>2.1187926480743546</c:v>
                </c:pt>
                <c:pt idx="25">
                  <c:v>1.4224695930286984</c:v>
                </c:pt>
                <c:pt idx="26">
                  <c:v>1.3502756144093266</c:v>
                </c:pt>
                <c:pt idx="27">
                  <c:v>0.88598237228904364</c:v>
                </c:pt>
                <c:pt idx="28">
                  <c:v>1.5623038367863726</c:v>
                </c:pt>
                <c:pt idx="29">
                  <c:v>2.104051305286804</c:v>
                </c:pt>
                <c:pt idx="30">
                  <c:v>0.43420761487781961</c:v>
                </c:pt>
                <c:pt idx="31">
                  <c:v>2.6518994245559928</c:v>
                </c:pt>
                <c:pt idx="32">
                  <c:v>2.4196732994260901</c:v>
                </c:pt>
                <c:pt idx="33">
                  <c:v>2.0720098993317073</c:v>
                </c:pt>
                <c:pt idx="34">
                  <c:v>1.9467350203041198</c:v>
                </c:pt>
                <c:pt idx="35">
                  <c:v>0.15169975405413774</c:v>
                </c:pt>
                <c:pt idx="36">
                  <c:v>-4.432142326262585E-2</c:v>
                </c:pt>
                <c:pt idx="37">
                  <c:v>1.9924197442036224</c:v>
                </c:pt>
                <c:pt idx="38">
                  <c:v>1.4615833679551946</c:v>
                </c:pt>
                <c:pt idx="39">
                  <c:v>1.8423734306664434</c:v>
                </c:pt>
                <c:pt idx="40">
                  <c:v>1.5495380927565481</c:v>
                </c:pt>
                <c:pt idx="41">
                  <c:v>2.746182663788443</c:v>
                </c:pt>
                <c:pt idx="42">
                  <c:v>1.673498237868537</c:v>
                </c:pt>
                <c:pt idx="43">
                  <c:v>2.1767550935826003</c:v>
                </c:pt>
                <c:pt idx="44">
                  <c:v>0.92212358974014785</c:v>
                </c:pt>
                <c:pt idx="45">
                  <c:v>1.3548390407530473</c:v>
                </c:pt>
                <c:pt idx="46">
                  <c:v>1.7698862356276033</c:v>
                </c:pt>
                <c:pt idx="47">
                  <c:v>0.78966007736569332</c:v>
                </c:pt>
                <c:pt idx="48">
                  <c:v>-0.81591374113327919</c:v>
                </c:pt>
                <c:pt idx="49">
                  <c:v>-0.15619700462512098</c:v>
                </c:pt>
                <c:pt idx="50">
                  <c:v>0.84971362903066938</c:v>
                </c:pt>
                <c:pt idx="51">
                  <c:v>1.5562762513242896</c:v>
                </c:pt>
                <c:pt idx="52">
                  <c:v>6.9710887353717263E-2</c:v>
                </c:pt>
                <c:pt idx="53">
                  <c:v>-0.68924902270318267</c:v>
                </c:pt>
                <c:pt idx="54">
                  <c:v>-0.17208551279584638</c:v>
                </c:pt>
                <c:pt idx="55">
                  <c:v>-1.3737350729358524</c:v>
                </c:pt>
                <c:pt idx="56">
                  <c:v>-0.20845510909858794</c:v>
                </c:pt>
                <c:pt idx="57">
                  <c:v>-1.5494894247042994</c:v>
                </c:pt>
                <c:pt idx="58">
                  <c:v>-1.5402377906425269</c:v>
                </c:pt>
                <c:pt idx="59">
                  <c:v>-5.8160511989105732</c:v>
                </c:pt>
                <c:pt idx="60">
                  <c:v>-0.74044932046244394</c:v>
                </c:pt>
                <c:pt idx="61">
                  <c:v>-1.146821300383426</c:v>
                </c:pt>
                <c:pt idx="62">
                  <c:v>4.1598350578037881E-2</c:v>
                </c:pt>
                <c:pt idx="63">
                  <c:v>-0.15928636364245496</c:v>
                </c:pt>
                <c:pt idx="64">
                  <c:v>-1.0147455504863447</c:v>
                </c:pt>
                <c:pt idx="65">
                  <c:v>-0.35510365182273163</c:v>
                </c:pt>
                <c:pt idx="66">
                  <c:v>-0.2269037306494093</c:v>
                </c:pt>
                <c:pt idx="67">
                  <c:v>-5.7989958159435168E-2</c:v>
                </c:pt>
                <c:pt idx="68">
                  <c:v>-1.1734088534012588</c:v>
                </c:pt>
                <c:pt idx="69">
                  <c:v>-1.4410337543955947</c:v>
                </c:pt>
                <c:pt idx="70">
                  <c:v>-1.5903111039999478</c:v>
                </c:pt>
                <c:pt idx="71">
                  <c:v>-1.4788383028064462</c:v>
                </c:pt>
                <c:pt idx="72">
                  <c:v>-1.5432219129707982</c:v>
                </c:pt>
                <c:pt idx="73">
                  <c:v>-1.7366382696066451</c:v>
                </c:pt>
                <c:pt idx="74">
                  <c:v>-1.443937378960005</c:v>
                </c:pt>
                <c:pt idx="75">
                  <c:v>-1.5850501713678784</c:v>
                </c:pt>
                <c:pt idx="76">
                  <c:v>-1.6052629227800119</c:v>
                </c:pt>
                <c:pt idx="77">
                  <c:v>-1.551532218919498</c:v>
                </c:pt>
                <c:pt idx="78">
                  <c:v>-1.6816479834880498</c:v>
                </c:pt>
                <c:pt idx="79">
                  <c:v>-1.6359987031805903</c:v>
                </c:pt>
                <c:pt idx="80">
                  <c:v>-1.6886088409921511</c:v>
                </c:pt>
                <c:pt idx="81">
                  <c:v>-1.423424419063537</c:v>
                </c:pt>
                <c:pt idx="82">
                  <c:v>-1.4131731430312768</c:v>
                </c:pt>
                <c:pt idx="83">
                  <c:v>-3.5514998933341859</c:v>
                </c:pt>
                <c:pt idx="84">
                  <c:v>-1.8044447091168139</c:v>
                </c:pt>
                <c:pt idx="85">
                  <c:v>-2.0939061850961931</c:v>
                </c:pt>
                <c:pt idx="86">
                  <c:v>-3.2904780610190589</c:v>
                </c:pt>
                <c:pt idx="87">
                  <c:v>-2.1028173751790296</c:v>
                </c:pt>
                <c:pt idx="88">
                  <c:v>-1.3314989732711657</c:v>
                </c:pt>
                <c:pt idx="89">
                  <c:v>-1.4482076001164463</c:v>
                </c:pt>
                <c:pt idx="90">
                  <c:v>-2.3983312404686314</c:v>
                </c:pt>
                <c:pt idx="91">
                  <c:v>-2.2307544084699158</c:v>
                </c:pt>
                <c:pt idx="92">
                  <c:v>-2.211623635530914</c:v>
                </c:pt>
                <c:pt idx="93">
                  <c:v>-2.4675485962730557</c:v>
                </c:pt>
                <c:pt idx="94">
                  <c:v>-1.7102928070770587</c:v>
                </c:pt>
                <c:pt idx="95">
                  <c:v>-2.1746400160910189</c:v>
                </c:pt>
                <c:pt idx="96">
                  <c:v>-1.6825742794333158</c:v>
                </c:pt>
                <c:pt idx="97">
                  <c:v>-2.0116273744640742</c:v>
                </c:pt>
                <c:pt idx="98">
                  <c:v>-2.0886316387618087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2F5-47B2-B916-F36407ABA925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4.0424277629776446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11.304022354605477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C-B2F5-47B2-B916-F36407ABA92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8.2804797023745103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4.6681985330133484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D-B2F5-47B2-B916-F36407ABA925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0.40564311473886255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13.181038027634242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E-B2F5-47B2-B916-F36407ABA925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4.6147574774866902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-6.0001076852135604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F-B2F5-47B2-B916-F36407ABA925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3.4004130382262021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-5.3625331817229069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0-B2F5-47B2-B916-F36407ABA925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-1.4023424683928845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-3.8697161937709148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1-B2F5-47B2-B916-F36407ABA925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2.3330751094261695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10.983906524128953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2-B2F5-47B2-B916-F36407ABA925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8.0205235334520353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-4.0757282938571029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3-B2F5-47B2-B916-F36407ABA925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8.779755037474434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5.3371991089944445E-3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4-B2F5-47B2-B916-F36407ABA925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4.7295141533210527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-6.6257385644114279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5-B2F5-47B2-B916-F36407ABA925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-1.8733127184478069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8.5984616257777571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6-B2F5-47B2-B916-F36407ABA925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6.5385793093642448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0.28863366840348431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7-B2F5-47B2-B916-F36407ABA925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4.840118538921641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-5.3916001445134656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8-B2F5-47B2-B916-F36407ABA925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8.683645549781394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-2.8599852219171402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9-B2F5-47B2-B916-F36407ABA925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7.5947245601956643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-6.5253423598872766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A-B2F5-47B2-B916-F36407ABA925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8.1279567692279073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4.2265622174249033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B-B2F5-47B2-B916-F36407ABA925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3.4547204351077538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-5.2032116178660708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C-B2F5-47B2-B916-F36407ABA925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4.4023672297728744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5.0921614789822014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D-B2F5-47B2-B916-F36407ABA925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8.8554281599103462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-3.6951578682636068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E-B2F5-47B2-B916-F36407ABA925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4.9752689474146246E-2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-0.38458850153538959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F-B2F5-47B2-B916-F36407ABA925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8.5437284604588957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3.2015084271958236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0-B2F5-47B2-B916-F36407ABA925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7.9435281089131315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4.1609867713480906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1-B2F5-47B2-B916-F36407ABA925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8.2025948338189885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4.5598532499255811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2-B2F5-47B2-B916-F36407ABA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451408"/>
        <c:axId val="1592451888"/>
      </c:scatterChart>
      <c:valAx>
        <c:axId val="1592451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F1 (40.48 %)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592451888"/>
        <c:crosses val="autoZero"/>
        <c:crossBetween val="midCat"/>
      </c:valAx>
      <c:valAx>
        <c:axId val="1592451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F2 (16.84 %)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15924514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Axes homogeneity index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'PCA1'!$B$487:$B$491</c:f>
              <c:strCache>
                <c:ptCount val="5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</c:strCache>
            </c:strRef>
          </c:cat>
          <c:val>
            <c:numRef>
              <c:f>'PCA1'!$C$487:$C$491</c:f>
              <c:numCache>
                <c:formatCode>0.000</c:formatCode>
                <c:ptCount val="5"/>
                <c:pt idx="0">
                  <c:v>0.1111111111111111</c:v>
                </c:pt>
                <c:pt idx="1">
                  <c:v>0.29292929292929298</c:v>
                </c:pt>
                <c:pt idx="2">
                  <c:v>0.13131313131313133</c:v>
                </c:pt>
                <c:pt idx="3">
                  <c:v>9.0909090909090925E-2</c:v>
                </c:pt>
                <c:pt idx="4">
                  <c:v>0.22222222222222224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0-492A-BCF0-72ABFE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602519056"/>
        <c:axId val="1602520976"/>
      </c:barChart>
      <c:catAx>
        <c:axId val="1602519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axis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602520976"/>
        <c:crosses val="autoZero"/>
        <c:auto val="1"/>
        <c:lblAlgn val="ctr"/>
        <c:lblOffset val="100"/>
        <c:noMultiLvlLbl val="0"/>
      </c:catAx>
      <c:valAx>
        <c:axId val="160252097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60251905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PCA!$C$75:$Y$75</c:f>
              <c:strCache>
                <c:ptCount val="2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  <c:pt idx="19">
                  <c:v>F20</c:v>
                </c:pt>
                <c:pt idx="20">
                  <c:v>F21</c:v>
                </c:pt>
                <c:pt idx="21">
                  <c:v>F22</c:v>
                </c:pt>
                <c:pt idx="22">
                  <c:v>F23</c:v>
                </c:pt>
              </c:strCache>
            </c:strRef>
          </c:cat>
          <c:val>
            <c:numRef>
              <c:f>PCA!$C$76:$Y$76</c:f>
              <c:numCache>
                <c:formatCode>0.000</c:formatCode>
                <c:ptCount val="23"/>
                <c:pt idx="0">
                  <c:v>9.3111533651157856</c:v>
                </c:pt>
                <c:pt idx="1">
                  <c:v>3.873740576695305</c:v>
                </c:pt>
                <c:pt idx="2">
                  <c:v>2.5728918034889339</c:v>
                </c:pt>
                <c:pt idx="3">
                  <c:v>1.9501098736681823</c:v>
                </c:pt>
                <c:pt idx="4">
                  <c:v>1.6800400499179153</c:v>
                </c:pt>
                <c:pt idx="5">
                  <c:v>0.89674381248559376</c:v>
                </c:pt>
                <c:pt idx="6">
                  <c:v>0.68466632869620525</c:v>
                </c:pt>
                <c:pt idx="7">
                  <c:v>0.45822211329049878</c:v>
                </c:pt>
                <c:pt idx="8">
                  <c:v>0.32419884632881441</c:v>
                </c:pt>
                <c:pt idx="9">
                  <c:v>0.28803768242112737</c:v>
                </c:pt>
                <c:pt idx="10">
                  <c:v>0.23111669781001087</c:v>
                </c:pt>
                <c:pt idx="11">
                  <c:v>0.16700592328589439</c:v>
                </c:pt>
                <c:pt idx="12">
                  <c:v>0.13585820342109886</c:v>
                </c:pt>
                <c:pt idx="13">
                  <c:v>0.12455860204563167</c:v>
                </c:pt>
                <c:pt idx="14">
                  <c:v>8.4072749424327686E-2</c:v>
                </c:pt>
                <c:pt idx="15">
                  <c:v>6.9928853180730555E-2</c:v>
                </c:pt>
                <c:pt idx="16">
                  <c:v>4.370767037280289E-2</c:v>
                </c:pt>
                <c:pt idx="17">
                  <c:v>3.0881928006413008E-2</c:v>
                </c:pt>
                <c:pt idx="18">
                  <c:v>2.8625895625976838E-2</c:v>
                </c:pt>
                <c:pt idx="19">
                  <c:v>1.8454168726515487E-2</c:v>
                </c:pt>
                <c:pt idx="20">
                  <c:v>1.5142074828655351E-2</c:v>
                </c:pt>
                <c:pt idx="21">
                  <c:v>1.0839743429183394E-2</c:v>
                </c:pt>
                <c:pt idx="22">
                  <c:v>3.0377344010621124E-6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B4-46ED-BA3B-FA23E279E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47939632"/>
        <c:axId val="24794251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PCA!$C$75:$Y$75</c:f>
              <c:strCache>
                <c:ptCount val="2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  <c:pt idx="17">
                  <c:v>F18</c:v>
                </c:pt>
                <c:pt idx="18">
                  <c:v>F19</c:v>
                </c:pt>
                <c:pt idx="19">
                  <c:v>F20</c:v>
                </c:pt>
                <c:pt idx="20">
                  <c:v>F21</c:v>
                </c:pt>
                <c:pt idx="21">
                  <c:v>F22</c:v>
                </c:pt>
                <c:pt idx="22">
                  <c:v>F23</c:v>
                </c:pt>
              </c:strCache>
            </c:strRef>
          </c:cat>
          <c:val>
            <c:numRef>
              <c:f>PCA!$C$78:$Y$78</c:f>
              <c:numCache>
                <c:formatCode>0.000</c:formatCode>
                <c:ptCount val="23"/>
                <c:pt idx="0">
                  <c:v>40.483275500503403</c:v>
                </c:pt>
                <c:pt idx="1">
                  <c:v>57.325625833961247</c:v>
                </c:pt>
                <c:pt idx="2">
                  <c:v>68.512111936087038</c:v>
                </c:pt>
                <c:pt idx="3">
                  <c:v>76.990850517253051</c:v>
                </c:pt>
                <c:pt idx="4">
                  <c:v>84.295372473417899</c:v>
                </c:pt>
                <c:pt idx="5">
                  <c:v>88.194258614659617</c:v>
                </c:pt>
                <c:pt idx="6">
                  <c:v>91.171068739425721</c:v>
                </c:pt>
                <c:pt idx="7">
                  <c:v>93.1633387972105</c:v>
                </c:pt>
                <c:pt idx="8">
                  <c:v>94.572898998640127</c:v>
                </c:pt>
                <c:pt idx="9">
                  <c:v>95.825236748297201</c:v>
                </c:pt>
                <c:pt idx="10">
                  <c:v>96.830091956166811</c:v>
                </c:pt>
                <c:pt idx="11">
                  <c:v>97.556204666105486</c:v>
                </c:pt>
                <c:pt idx="12">
                  <c:v>98.146892507066781</c:v>
                </c:pt>
                <c:pt idx="13">
                  <c:v>98.68845164639562</c:v>
                </c:pt>
                <c:pt idx="14">
                  <c:v>99.053985339544866</c:v>
                </c:pt>
                <c:pt idx="15">
                  <c:v>99.358023831634995</c:v>
                </c:pt>
                <c:pt idx="16">
                  <c:v>99.548057181081958</c:v>
                </c:pt>
                <c:pt idx="17">
                  <c:v>99.682326433283748</c:v>
                </c:pt>
                <c:pt idx="18">
                  <c:v>99.806786849048862</c:v>
                </c:pt>
                <c:pt idx="19">
                  <c:v>99.887022365251099</c:v>
                </c:pt>
                <c:pt idx="20">
                  <c:v>99.952857473201774</c:v>
                </c:pt>
                <c:pt idx="21">
                  <c:v>99.999986792459097</c:v>
                </c:pt>
                <c:pt idx="22">
                  <c:v>99.999999999999972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B4-46ED-BA3B-FA23E279E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14672"/>
        <c:axId val="523222352"/>
      </c:lineChart>
      <c:catAx>
        <c:axId val="24793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47942512"/>
        <c:crosses val="autoZero"/>
        <c:auto val="1"/>
        <c:lblAlgn val="ctr"/>
        <c:lblOffset val="100"/>
        <c:noMultiLvlLbl val="0"/>
      </c:catAx>
      <c:valAx>
        <c:axId val="24794251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47939632"/>
        <c:crosses val="autoZero"/>
        <c:crossBetween val="between"/>
      </c:valAx>
      <c:valAx>
        <c:axId val="523222352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23214672"/>
        <c:crosses val="max"/>
        <c:crossBetween val="between"/>
        <c:majorUnit val="20"/>
      </c:valAx>
      <c:catAx>
        <c:axId val="523214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222352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Variables (axes F1 and F2: 57.33 %)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5.0906787693205016E-2"/>
          <c:y val="7.849166423641489E-2"/>
          <c:w val="0.92594506415864697"/>
          <c:h val="0.76305865412656748"/>
        </c:manualLayout>
      </c:layout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9290123456790122E-2"/>
                  <c:y val="-3.08641975308642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Energy_kcal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FF1-4339-9C10-06DACF238F29}"/>
                </c:ext>
              </c:extLst>
            </c:dLbl>
            <c:dLbl>
              <c:idx val="1"/>
              <c:layout>
                <c:manualLayout>
                  <c:x val="-1.929012345679012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Protein_g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FF1-4339-9C10-06DACF238F29}"/>
                </c:ext>
              </c:extLst>
            </c:dLbl>
            <c:dLbl>
              <c:idx val="2"/>
              <c:layout>
                <c:manualLayout>
                  <c:x val="-1.9290123456790195E-2"/>
                  <c:y val="-3.086419753086420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Fat_g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FF1-4339-9C10-06DACF238F29}"/>
                </c:ext>
              </c:extLst>
            </c:dLbl>
            <c:dLbl>
              <c:idx val="3"/>
              <c:layout>
                <c:manualLayout>
                  <c:x val="-1.9290123456790195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Carb_g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FF1-4339-9C10-06DACF238F29}"/>
                </c:ext>
              </c:extLst>
            </c:dLbl>
            <c:dLbl>
              <c:idx val="4"/>
              <c:layout>
                <c:manualLayout>
                  <c:x val="-1.929012345679012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Sugar_g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FF1-4339-9C10-06DACF238F29}"/>
                </c:ext>
              </c:extLst>
            </c:dLbl>
            <c:dLbl>
              <c:idx val="5"/>
              <c:layout>
                <c:manualLayout>
                  <c:x val="-0.11631944444444443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Fiber_g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FF1-4339-9C10-06DACF238F29}"/>
                </c:ext>
              </c:extLst>
            </c:dLbl>
            <c:dLbl>
              <c:idx val="6"/>
              <c:layout>
                <c:manualLayout>
                  <c:x val="-1.9290123456790122E-2"/>
                  <c:y val="-3.08641975308642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VitA_mcg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FF1-4339-9C10-06DACF238F29}"/>
                </c:ext>
              </c:extLst>
            </c:dLbl>
            <c:dLbl>
              <c:idx val="7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VitB6_mg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FF1-4339-9C10-06DACF238F29}"/>
                </c:ext>
              </c:extLst>
            </c:dLbl>
            <c:dLbl>
              <c:idx val="8"/>
              <c:layout>
                <c:manualLayout>
                  <c:x val="-1.929012345679012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VitB12_mcg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F1-4339-9C10-06DACF238F29}"/>
                </c:ext>
              </c:extLst>
            </c:dLbl>
            <c:dLbl>
              <c:idx val="9"/>
              <c:layout>
                <c:manualLayout>
                  <c:x val="-1.9290123456790195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F1-4339-9C10-06DACF238F29}"/>
                </c:ext>
              </c:extLst>
            </c:dLbl>
            <c:dLbl>
              <c:idx val="10"/>
              <c:layout>
                <c:manualLayout>
                  <c:x val="-0.12528950374258774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F1-4339-9C10-06DACF238F29}"/>
                </c:ext>
              </c:extLst>
            </c:dLbl>
            <c:dLbl>
              <c:idx val="11"/>
              <c:layout>
                <c:manualLayout>
                  <c:x val="-1.9290123456790265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Folate_mcg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F1-4339-9C10-06DACF238F29}"/>
                </c:ext>
              </c:extLst>
            </c:dLbl>
            <c:dLbl>
              <c:idx val="12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Niacin_mg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FF1-4339-9C10-06DACF238F29}"/>
                </c:ext>
              </c:extLst>
            </c:dLbl>
            <c:dLbl>
              <c:idx val="13"/>
              <c:layout>
                <c:manualLayout>
                  <c:x val="-1.9290123456790265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Riboflavin_mg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FF1-4339-9C10-06DACF238F29}"/>
                </c:ext>
              </c:extLst>
            </c:dLbl>
            <c:dLbl>
              <c:idx val="14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Thiamin_mg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FF1-4339-9C10-06DACF238F29}"/>
                </c:ext>
              </c:extLst>
            </c:dLbl>
            <c:dLbl>
              <c:idx val="15"/>
              <c:layout>
                <c:manualLayout>
                  <c:x val="-1.929012345679012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Calcium_mg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FF1-4339-9C10-06DACF238F29}"/>
                </c:ext>
              </c:extLst>
            </c:dLbl>
            <c:dLbl>
              <c:idx val="16"/>
              <c:layout>
                <c:manualLayout>
                  <c:x val="-1.929012345679012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Copper_mcg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FF1-4339-9C10-06DACF238F29}"/>
                </c:ext>
              </c:extLst>
            </c:dLbl>
            <c:dLbl>
              <c:idx val="17"/>
              <c:layout>
                <c:manualLayout>
                  <c:x val="-1.9290123456790195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Iron_mg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FF1-4339-9C10-06DACF238F29}"/>
                </c:ext>
              </c:extLst>
            </c:dLbl>
            <c:dLbl>
              <c:idx val="18"/>
              <c:layout>
                <c:manualLayout>
                  <c:x val="-1.9290123456790265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Magnesium_mg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FF1-4339-9C10-06DACF238F29}"/>
                </c:ext>
              </c:extLst>
            </c:dLbl>
            <c:dLbl>
              <c:idx val="19"/>
              <c:layout>
                <c:manualLayout>
                  <c:x val="-1.929012345679012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Manganese_mg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FF1-4339-9C10-06DACF238F29}"/>
                </c:ext>
              </c:extLst>
            </c:dLbl>
            <c:dLbl>
              <c:idx val="20"/>
              <c:layout>
                <c:manualLayout>
                  <c:x val="-1.929012345679012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Phosphorus_mg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FF1-4339-9C10-06DACF238F29}"/>
                </c:ext>
              </c:extLst>
            </c:dLbl>
            <c:dLbl>
              <c:idx val="21"/>
              <c:layout>
                <c:manualLayout>
                  <c:x val="-1.929012345679012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Selenium_mcg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FF1-4339-9C10-06DACF238F29}"/>
                </c:ext>
              </c:extLst>
            </c:dLbl>
            <c:dLbl>
              <c:idx val="22"/>
              <c:layout>
                <c:manualLayout>
                  <c:x val="-1.9290123456790265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Zinc_mg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FF1-4339-9C10-06DACF238F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XLSTAT_20240328_054226_1_HID!$A$1:$A$23</c:f>
              <c:numCache>
                <c:formatCode>General</c:formatCode>
                <c:ptCount val="23"/>
                <c:pt idx="0">
                  <c:v>0.41794227727735717</c:v>
                </c:pt>
                <c:pt idx="1">
                  <c:v>0.85610992865588031</c:v>
                </c:pt>
                <c:pt idx="2">
                  <c:v>4.1939007219502118E-2</c:v>
                </c:pt>
                <c:pt idx="3">
                  <c:v>0.47711483353825546</c:v>
                </c:pt>
                <c:pt idx="4">
                  <c:v>0.3515650624349172</c:v>
                </c:pt>
                <c:pt idx="5">
                  <c:v>-0.1449866860035498</c:v>
                </c:pt>
                <c:pt idx="6">
                  <c:v>0.24121413701513919</c:v>
                </c:pt>
                <c:pt idx="7">
                  <c:v>0.82923333874454297</c:v>
                </c:pt>
                <c:pt idx="8">
                  <c:v>0.90772947086543043</c:v>
                </c:pt>
                <c:pt idx="9">
                  <c:v>0.48897940335697898</c:v>
                </c:pt>
                <c:pt idx="10">
                  <c:v>-0.19367979578292044</c:v>
                </c:pt>
                <c:pt idx="11">
                  <c:v>0.67601671246720607</c:v>
                </c:pt>
                <c:pt idx="12">
                  <c:v>0.50041467233522419</c:v>
                </c:pt>
                <c:pt idx="13">
                  <c:v>0.89779281385889864</c:v>
                </c:pt>
                <c:pt idx="14">
                  <c:v>0.78521043889832631</c:v>
                </c:pt>
                <c:pt idx="15">
                  <c:v>0.84034074593847385</c:v>
                </c:pt>
                <c:pt idx="16">
                  <c:v>0.35717984603935327</c:v>
                </c:pt>
                <c:pt idx="17">
                  <c:v>0.45515603328114806</c:v>
                </c:pt>
                <c:pt idx="18">
                  <c:v>0.91555323395384103</c:v>
                </c:pt>
                <c:pt idx="19">
                  <c:v>5.1438772833333419E-3</c:v>
                </c:pt>
                <c:pt idx="20">
                  <c:v>0.88332693583455146</c:v>
                </c:pt>
                <c:pt idx="21">
                  <c:v>0.82127286425779022</c:v>
                </c:pt>
                <c:pt idx="22">
                  <c:v>0.84805749550477705</c:v>
                </c:pt>
              </c:numCache>
            </c:numRef>
          </c:xVal>
          <c:yVal>
            <c:numRef>
              <c:f>XLSTAT_20240328_054226_1_HID!$B$1:$B$23</c:f>
              <c:numCache>
                <c:formatCode>General</c:formatCode>
                <c:ptCount val="23"/>
                <c:pt idx="0">
                  <c:v>0.75382505992550441</c:v>
                </c:pt>
                <c:pt idx="1">
                  <c:v>0.31130556261322589</c:v>
                </c:pt>
                <c:pt idx="2">
                  <c:v>0.87899656152161898</c:v>
                </c:pt>
                <c:pt idx="3">
                  <c:v>-0.40012584843507543</c:v>
                </c:pt>
                <c:pt idx="4">
                  <c:v>-0.35760827166250375</c:v>
                </c:pt>
                <c:pt idx="5">
                  <c:v>-0.25805761437437169</c:v>
                </c:pt>
                <c:pt idx="6">
                  <c:v>0.73247767334733138</c:v>
                </c:pt>
                <c:pt idx="7">
                  <c:v>-0.27179582886309045</c:v>
                </c:pt>
                <c:pt idx="8">
                  <c:v>3.5591883242661173E-4</c:v>
                </c:pt>
                <c:pt idx="9">
                  <c:v>-0.4418469473685398</c:v>
                </c:pt>
                <c:pt idx="10">
                  <c:v>0.57340083440991019</c:v>
                </c:pt>
                <c:pt idx="11">
                  <c:v>1.9247953122821841E-2</c:v>
                </c:pt>
                <c:pt idx="12">
                  <c:v>-0.3595466440648305</c:v>
                </c:pt>
                <c:pt idx="13">
                  <c:v>-0.19072224591093231</c:v>
                </c:pt>
                <c:pt idx="14">
                  <c:v>-0.43515188144265948</c:v>
                </c:pt>
                <c:pt idx="15">
                  <c:v>0.28185440694312924</c:v>
                </c:pt>
                <c:pt idx="16">
                  <c:v>-0.34698368302898341</c:v>
                </c:pt>
                <c:pt idx="17">
                  <c:v>0.33957814410020098</c:v>
                </c:pt>
                <c:pt idx="18">
                  <c:v>-0.24641694027994748</c:v>
                </c:pt>
                <c:pt idx="19">
                  <c:v>-2.5646839781632885E-2</c:v>
                </c:pt>
                <c:pt idx="20">
                  <c:v>0.213497214201779</c:v>
                </c:pt>
                <c:pt idx="21">
                  <c:v>0.27748141359458378</c:v>
                </c:pt>
                <c:pt idx="22">
                  <c:v>0.30408040090050109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1-4339-9C10-06DACF238F29}"/>
            </c:ext>
          </c:extLst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XLSTAT_20240328_054226_1_HID1!xcirclez1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XLSTAT_20240328_054226_1_HID1!ycirclez1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FF1-4339-9C10-06DACF238F29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0.41794227727735717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0.75382505992550441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6FF1-4339-9C10-06DACF238F2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0.85610992865588031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0.31130556261322589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6FF1-4339-9C10-06DACF238F29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4.1939007219502118E-2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0.87899656152161898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6FF1-4339-9C10-06DACF238F29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0.47711483353825546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-0.40012584843507543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6FF1-4339-9C10-06DACF238F29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0.3515650624349172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-0.35760827166250375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6FF1-4339-9C10-06DACF238F29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-0.1449866860035498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-0.25805761437437169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E-6FF1-4339-9C10-06DACF238F29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0.24121413701513919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0.73247767334733138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6FF1-4339-9C10-06DACF238F29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0.82923333874454297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-0.27179582886309045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6FF1-4339-9C10-06DACF238F29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0.90772947086543043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3.5591883242661173E-4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1-6FF1-4339-9C10-06DACF238F29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0.48897940335697898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-0.4418469473685398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6FF1-4339-9C10-06DACF238F29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-0.19367979578292044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0.57340083440991019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3-6FF1-4339-9C10-06DACF238F29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0.67601671246720607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1.9247953122821841E-2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4-6FF1-4339-9C10-06DACF238F29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0.50041467233522419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-0.3595466440648305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5-6FF1-4339-9C10-06DACF238F29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0.89779281385889864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-0.19072224591093231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6-6FF1-4339-9C10-06DACF238F29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0.78521043889832631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-0.43515188144265948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7-6FF1-4339-9C10-06DACF238F29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0.84034074593847385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0.28185440694312924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8-6FF1-4339-9C10-06DACF238F29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0.35717984603935327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-0.34698368302898341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9-6FF1-4339-9C10-06DACF238F29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0.45515603328114806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0.33957814410020098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A-6FF1-4339-9C10-06DACF238F29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0.91555323395384103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-0.24641694027994748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B-6FF1-4339-9C10-06DACF238F29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5.1438772833333419E-3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-2.5646839781632885E-2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C-6FF1-4339-9C10-06DACF238F29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0.88332693583455146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0.213497214201779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D-6FF1-4339-9C10-06DACF238F29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0.82127286425779022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0.27748141359458378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E-6FF1-4339-9C10-06DACF238F29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0.84805749550477705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0.30408040090050109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F-6FF1-4339-9C10-06DACF238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98352"/>
        <c:axId val="523206992"/>
      </c:scatterChart>
      <c:valAx>
        <c:axId val="52319835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F1 (40.48 %)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23206992"/>
        <c:crosses val="autoZero"/>
        <c:crossBetween val="midCat"/>
        <c:majorUnit val="0.25"/>
      </c:valAx>
      <c:valAx>
        <c:axId val="52320699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F2 (16.84 %)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23198352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34418834148798882"/>
          <c:y val="0.9117472295129776"/>
          <c:w val="0.26637158991489701"/>
          <c:h val="5.9335858334163931E-2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Observations (axes F1 and F2: 57.33 %)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observations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Butter, salted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CF0-4776-A1F5-774863B224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Butter, whipped, with salt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CF0-4776-A1F5-774863B224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Butter oil, anhydrous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CF0-4776-A1F5-774863B224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Cheese, blue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CF0-4776-A1F5-774863B224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Cheese, brick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CF0-4776-A1F5-774863B224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Cheese, brie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CF0-4776-A1F5-774863B224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Cheese, camembert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CF0-4776-A1F5-774863B224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Cheese, caraway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CF0-4776-A1F5-774863B224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Cheese, cheddar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CF0-4776-A1F5-774863B224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Cheese, cheshire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CF0-4776-A1F5-774863B224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Cheese, colby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CF0-4776-A1F5-774863B224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Cheese, cottage, creamed, large or small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CF0-4776-A1F5-774863B224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Cheese, cottage, creamed, with fruit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CF0-4776-A1F5-774863B224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Cheese, cottage, nonfat, uncreamed, dry, large or small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CF0-4776-A1F5-774863B224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Cheese, cottage, lowfat, 2%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CF0-4776-A1F5-774863B224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Cheese, cottage, lowfat, 1%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CF0-4776-A1F5-774863B224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Cheese, cream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CF0-4776-A1F5-774863B224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Cheese, edam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CF0-4776-A1F5-774863B224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Cheese, feta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CF0-4776-A1F5-774863B224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Cheese, fontina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CF0-4776-A1F5-774863B224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Cheese, gjetost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CF0-4776-A1F5-774863B224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Cheese, gouda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CF0-4776-A1F5-774863B224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Cheese, gruyere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CF0-4776-A1F5-774863B224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Cheese, limburger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CF0-4776-A1F5-774863B224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Cheese, monterey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CF0-4776-A1F5-774863B224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Cheese, mozzarella, whole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CF0-4776-A1F5-774863B224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Cheese, mozzarella, whole milk, low moisture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CF0-4776-A1F5-774863B224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Cheese, mozzarella, 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CF0-4776-A1F5-774863B224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Cheese, mozzarella, low moisture, part-skim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CF0-4776-A1F5-774863B224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Cheese, muenster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CF0-4776-A1F5-774863B224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Cheese, neufchatel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CF0-4776-A1F5-774863B224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Cheese, parmesan, grated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CF0-4776-A1F5-774863B224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Cheese, parmesan, hard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CF0-4776-A1F5-774863B224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Cheese, port de salut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CF0-4776-A1F5-774863B224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Cheese, provolone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CF0-4776-A1F5-774863B224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Cheese, ricotta, whole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CF0-4776-A1F5-774863B224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Cheese, ricotta, 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CF0-4776-A1F5-774863B224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Cheese, romano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CF0-4776-A1F5-774863B224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Cheese, roquefort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CF0-4776-A1F5-774863B224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Cheese, 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CF0-4776-A1F5-774863B224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Cheese, tilsit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CF0-4776-A1F5-774863B224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Cheese, pasteurized process, American, fortified with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CF0-4776-A1F5-774863B224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Cheese, pasteurized process, pimento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CF0-4776-A1F5-774863B224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Cheese, pasteurized process, 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CF0-4776-A1F5-774863B224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Cheese food, cold pack, 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CF0-4776-A1F5-774863B224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Cheese food, pasteurized process, American, vitamin D fortified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CF0-4776-A1F5-774863B224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Cheese food, pasteurized process, 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CF0-4776-A1F5-774863B224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Cheese spread, pasteurized process, 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CF0-4776-A1F5-774863B224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Cream, fluid, half and half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CF0-4776-A1F5-774863B224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Cream, fluid, light (coffee cream or table cream)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CF0-4776-A1F5-774863B224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Cream, fluid, light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CF0-4776-A1F5-774863B224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Cream, fluid, heavy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CF0-4776-A1F5-774863B224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Cream, whipped, cream topping, 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CF0-4776-A1F5-774863B224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Cream, sour, reduced fat, 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CF0-4776-A1F5-774863B224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Cream, sour, 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CF0-4776-A1F5-774863B224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Eggnog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CF0-4776-A1F5-774863B224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Sour dressing, non-butterfat, cultured, filled cream-type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CF0-4776-A1F5-774863B224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Milk, filled, fluid, with blend of hydrogenated vegetable oils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CF0-4776-A1F5-774863B224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Milk, filled, fluid, with 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CF0-4776-A1F5-774863B224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Cheese, American, nonfat or fat free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CF0-4776-A1F5-774863B224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Cream substitute, liquid, with hydrogenated vegetable oil and soy protein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CF0-4776-A1F5-774863B224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Cream substitute, liquid, with lauric acid oil and sodium caseinate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CF0-4776-A1F5-774863B224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Cream substitute, 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CF0-4776-A1F5-774863B224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Dessert topping, 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CF0-4776-A1F5-774863B224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Dessert topping, powdered, 1.5 ounce prepared with 1/2 cup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CF0-4776-A1F5-774863B224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Dessert topping, 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CF0-4776-A1F5-774863B224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Dessert topping, semi solid, frozen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CF0-4776-A1F5-774863B224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Sour cream, imitation, 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CF0-4776-A1F5-774863B224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Milk substitutes, fluid, with 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CF0-4776-A1F5-774863B224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Milk, whole, 3.25% milkfat, with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CF0-4776-A1F5-774863B224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Milk, producer, fluid, 3.7%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CF0-4776-A1F5-774863B224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Milk, reduced fat, fluid, 2% milkfat,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CF0-4776-A1F5-774863B224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Milk, reduced fat, fluid, 2% milkfat, with added nonfat milk solids and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CF0-4776-A1F5-774863B224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Milk, reduced fat, fluid, 2% milkfat, protein fortified,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CF0-4776-A1F5-774863B224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Milk, lowfat, fluid, 1% milkfat,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CF0-4776-A1F5-774863B224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Milk, lowfat, fluid, 1% milkfat, with added nonfat milk solids,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CF0-4776-A1F5-774863B224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Milk, lowfat, fluid, 1% milkfat, protein fortified,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CF0-4776-A1F5-774863B224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Milk, nonfat, fluid, with added vitamin A and vitamin D (fat free or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CF0-4776-A1F5-774863B224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Milk, nonfat, fluid, with added nonfat milk solids, vitamin A and vitamin D (fat free or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CF0-4776-A1F5-774863B224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Milk, nonfat, fluid, protein fortified, with added vitamin A and vitamin D (fat free and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CF0-4776-A1F5-774863B224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Milk, buttermilk, fluid, cultured, lowfat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CF0-4776-A1F5-774863B224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Milk, low sodium,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CF0-4776-A1F5-774863B224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Milk, dry, whole, with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CF0-4776-A1F5-774863B224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Milk, dry, nonfat, regular, without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CF0-4776-A1F5-774863B224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Milk, dry, nonfat, instant,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CF0-4776-A1F5-774863B224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Milk, dry, nonfat, calcium reduced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CF0-4776-A1F5-774863B224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Milk, buttermilk, dried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CF0-4776-A1F5-774863B224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Milk, canned, condensed, sweetened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CF0-4776-A1F5-774863B224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Milk, canned, evaporated, with added vitamin D and without added vitamin 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ACF0-4776-A1F5-774863B224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Milk, canned, evaporated, nonfat,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ACF0-4776-A1F5-774863B224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Milk, chocolate, fluid, commercial, whole,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ACF0-4776-A1F5-774863B224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Milk, chocolate, fluid, commercial, reduced 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ACF0-4776-A1F5-774863B224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Milk, chocolate, fluid, commercial, lowfat,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ACF0-4776-A1F5-774863B224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Milk, chocolate beverage, hot cocoa, homemade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ACF0-4776-A1F5-774863B224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Milk, goat, fluid, with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ACF0-4776-A1F5-774863B224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Milk, human, mature,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ACF0-4776-A1F5-774863B224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Milk, indian buffalo,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ACF0-4776-A1F5-774863B224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Milk, sheep,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ACF0-4776-A1F5-774863B224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Milk shakes, thick chocolate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ACF0-4776-A1F5-774863B224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XLSTAT_20240328_054226_1_HID2!$A$1:$A$99</c:f>
              <c:numCache>
                <c:formatCode>General</c:formatCode>
                <c:ptCount val="99"/>
                <c:pt idx="0">
                  <c:v>-2.7700104667885692</c:v>
                </c:pt>
                <c:pt idx="1">
                  <c:v>-2.6693152229172581</c:v>
                </c:pt>
                <c:pt idx="2">
                  <c:v>-2.9035495123890689</c:v>
                </c:pt>
                <c:pt idx="3">
                  <c:v>1.7344225528675339</c:v>
                </c:pt>
                <c:pt idx="4">
                  <c:v>1.2435051828369124</c:v>
                </c:pt>
                <c:pt idx="5">
                  <c:v>1.9941909850412014</c:v>
                </c:pt>
                <c:pt idx="6">
                  <c:v>1.9509882963164666</c:v>
                </c:pt>
                <c:pt idx="7">
                  <c:v>1.3737116003663408</c:v>
                </c:pt>
                <c:pt idx="8">
                  <c:v>1.7856672549536377</c:v>
                </c:pt>
                <c:pt idx="9">
                  <c:v>1.0609851364915721</c:v>
                </c:pt>
                <c:pt idx="10">
                  <c:v>1.5298188280466478</c:v>
                </c:pt>
                <c:pt idx="11">
                  <c:v>-1.7807359408741863</c:v>
                </c:pt>
                <c:pt idx="12">
                  <c:v>-1.6946330745298233</c:v>
                </c:pt>
                <c:pt idx="13">
                  <c:v>-1.7342345383180762</c:v>
                </c:pt>
                <c:pt idx="14">
                  <c:v>-1.5659010878296575</c:v>
                </c:pt>
                <c:pt idx="15">
                  <c:v>-1.734358629325321</c:v>
                </c:pt>
                <c:pt idx="16">
                  <c:v>-1.7657616908505989</c:v>
                </c:pt>
                <c:pt idx="17">
                  <c:v>1.8729999208483048</c:v>
                </c:pt>
                <c:pt idx="18">
                  <c:v>3.1990037565171523</c:v>
                </c:pt>
                <c:pt idx="19">
                  <c:v>0.87280074351675407</c:v>
                </c:pt>
                <c:pt idx="20">
                  <c:v>4.4391324470032814</c:v>
                </c:pt>
                <c:pt idx="21">
                  <c:v>1.7370561389722357</c:v>
                </c:pt>
                <c:pt idx="22">
                  <c:v>2.1856132172238789</c:v>
                </c:pt>
                <c:pt idx="23">
                  <c:v>1.4955331233917648</c:v>
                </c:pt>
                <c:pt idx="24">
                  <c:v>1.4788644700082378</c:v>
                </c:pt>
                <c:pt idx="25">
                  <c:v>0.96243773729951776</c:v>
                </c:pt>
                <c:pt idx="26">
                  <c:v>0.39410999401084557</c:v>
                </c:pt>
                <c:pt idx="27">
                  <c:v>0.75910221262003541</c:v>
                </c:pt>
                <c:pt idx="28">
                  <c:v>2.476185508459515</c:v>
                </c:pt>
                <c:pt idx="29">
                  <c:v>1.2543099515600431</c:v>
                </c:pt>
                <c:pt idx="30">
                  <c:v>-1.7150662137549832</c:v>
                </c:pt>
                <c:pt idx="31">
                  <c:v>2.9130453844624338</c:v>
                </c:pt>
                <c:pt idx="32">
                  <c:v>3.0147542680708397</c:v>
                </c:pt>
                <c:pt idx="33">
                  <c:v>1.0034163067494519</c:v>
                </c:pt>
                <c:pt idx="34">
                  <c:v>1.5409494784099538</c:v>
                </c:pt>
                <c:pt idx="35">
                  <c:v>-1.1193755027885457</c:v>
                </c:pt>
                <c:pt idx="36">
                  <c:v>-0.87743306801363319</c:v>
                </c:pt>
                <c:pt idx="37">
                  <c:v>2.3927991450639832</c:v>
                </c:pt>
                <c:pt idx="38">
                  <c:v>2.0922384811666066</c:v>
                </c:pt>
                <c:pt idx="39">
                  <c:v>2.6829535524811057</c:v>
                </c:pt>
                <c:pt idx="40">
                  <c:v>1.666954766775407</c:v>
                </c:pt>
                <c:pt idx="41">
                  <c:v>1.7173372361938557</c:v>
                </c:pt>
                <c:pt idx="42">
                  <c:v>1.4057315719125594</c:v>
                </c:pt>
                <c:pt idx="43">
                  <c:v>1.6575182368052235</c:v>
                </c:pt>
                <c:pt idx="44">
                  <c:v>1.4599321851782432</c:v>
                </c:pt>
                <c:pt idx="45">
                  <c:v>1.1212470077135848</c:v>
                </c:pt>
                <c:pt idx="46">
                  <c:v>1.7918784720490051</c:v>
                </c:pt>
                <c:pt idx="47">
                  <c:v>1.2219170028170436</c:v>
                </c:pt>
                <c:pt idx="48">
                  <c:v>-2.3397705920288696</c:v>
                </c:pt>
                <c:pt idx="49">
                  <c:v>-2.5304567012201313</c:v>
                </c:pt>
                <c:pt idx="50">
                  <c:v>-2.6048471641057938</c:v>
                </c:pt>
                <c:pt idx="51">
                  <c:v>-2.5617776559124308</c:v>
                </c:pt>
                <c:pt idx="52">
                  <c:v>-2.3049662356980631</c:v>
                </c:pt>
                <c:pt idx="53">
                  <c:v>-2.3069441756775273</c:v>
                </c:pt>
                <c:pt idx="54">
                  <c:v>-2.0718546908689985</c:v>
                </c:pt>
                <c:pt idx="55">
                  <c:v>-1.8148943511814741</c:v>
                </c:pt>
                <c:pt idx="56">
                  <c:v>-2.4014342563981064</c:v>
                </c:pt>
                <c:pt idx="57">
                  <c:v>-2.4020792254855836</c:v>
                </c:pt>
                <c:pt idx="58">
                  <c:v>-2.3767343627227944</c:v>
                </c:pt>
                <c:pt idx="59">
                  <c:v>7.5240689164632562</c:v>
                </c:pt>
                <c:pt idx="60">
                  <c:v>-3.3640780446396787</c:v>
                </c:pt>
                <c:pt idx="61">
                  <c:v>-3.306525997298766</c:v>
                </c:pt>
                <c:pt idx="62">
                  <c:v>-0.343800698961229</c:v>
                </c:pt>
                <c:pt idx="63">
                  <c:v>-1.7770102670566521</c:v>
                </c:pt>
                <c:pt idx="64">
                  <c:v>-2.1476648216577301</c:v>
                </c:pt>
                <c:pt idx="65">
                  <c:v>-3.1451568572930366</c:v>
                </c:pt>
                <c:pt idx="66">
                  <c:v>-2.858609689231606</c:v>
                </c:pt>
                <c:pt idx="67">
                  <c:v>-2.6714218443740219</c:v>
                </c:pt>
                <c:pt idx="68">
                  <c:v>-2.6547786995833653</c:v>
                </c:pt>
                <c:pt idx="69">
                  <c:v>-2.3176880833561926</c:v>
                </c:pt>
                <c:pt idx="70">
                  <c:v>-2.2685186614853468</c:v>
                </c:pt>
                <c:pt idx="71">
                  <c:v>-2.3043388456406966</c:v>
                </c:pt>
                <c:pt idx="72">
                  <c:v>-2.2391344693294482</c:v>
                </c:pt>
                <c:pt idx="73">
                  <c:v>-2.0306672901917682</c:v>
                </c:pt>
                <c:pt idx="74">
                  <c:v>-2.3648240272683645</c:v>
                </c:pt>
                <c:pt idx="75">
                  <c:v>-2.240868276307542</c:v>
                </c:pt>
                <c:pt idx="76">
                  <c:v>-2.0457746177404372</c:v>
                </c:pt>
                <c:pt idx="77">
                  <c:v>-2.2856252604143239</c:v>
                </c:pt>
                <c:pt idx="78">
                  <c:v>-2.1674411979782682</c:v>
                </c:pt>
                <c:pt idx="79">
                  <c:v>-2.0581921786409367</c:v>
                </c:pt>
                <c:pt idx="80">
                  <c:v>-2.4258296736597398</c:v>
                </c:pt>
                <c:pt idx="81">
                  <c:v>-2.5730648906427751</c:v>
                </c:pt>
                <c:pt idx="82">
                  <c:v>7.914107185464637</c:v>
                </c:pt>
                <c:pt idx="83">
                  <c:v>10.635532765419553</c:v>
                </c:pt>
                <c:pt idx="84">
                  <c:v>11.069285199887943</c:v>
                </c:pt>
                <c:pt idx="85">
                  <c:v>7.7336959006770902</c:v>
                </c:pt>
                <c:pt idx="86">
                  <c:v>9.995297173200056</c:v>
                </c:pt>
                <c:pt idx="87">
                  <c:v>0.90196589734951216</c:v>
                </c:pt>
                <c:pt idx="88">
                  <c:v>-1.1608989891600663</c:v>
                </c:pt>
                <c:pt idx="89">
                  <c:v>-1.0045475316315082</c:v>
                </c:pt>
                <c:pt idx="90">
                  <c:v>-2.1848430636163196</c:v>
                </c:pt>
                <c:pt idx="91">
                  <c:v>-2.1732171510750575</c:v>
                </c:pt>
                <c:pt idx="92">
                  <c:v>-2.0200990623186619</c:v>
                </c:pt>
                <c:pt idx="93">
                  <c:v>-1.8179347276139028</c:v>
                </c:pt>
                <c:pt idx="94">
                  <c:v>-2.2309022290824898</c:v>
                </c:pt>
                <c:pt idx="95">
                  <c:v>-2.4873901641340188</c:v>
                </c:pt>
                <c:pt idx="96">
                  <c:v>-1.825122159403834</c:v>
                </c:pt>
                <c:pt idx="97">
                  <c:v>-1.0198683936810182</c:v>
                </c:pt>
                <c:pt idx="98">
                  <c:v>-1.6950929685149529</c:v>
                </c:pt>
              </c:numCache>
            </c:numRef>
          </c:xVal>
          <c:yVal>
            <c:numRef>
              <c:f>XLSTAT_20240328_054226_1_HID2!$B$1:$B$99</c:f>
              <c:numCache>
                <c:formatCode>General</c:formatCode>
                <c:ptCount val="99"/>
                <c:pt idx="0">
                  <c:v>5.1631674639664995</c:v>
                </c:pt>
                <c:pt idx="1">
                  <c:v>5.2121028939294183</c:v>
                </c:pt>
                <c:pt idx="2">
                  <c:v>6.6204529506929841</c:v>
                </c:pt>
                <c:pt idx="3">
                  <c:v>1.0655772934224628</c:v>
                </c:pt>
                <c:pt idx="4">
                  <c:v>2.0481183279592559</c:v>
                </c:pt>
                <c:pt idx="5">
                  <c:v>0.88145056911490349</c:v>
                </c:pt>
                <c:pt idx="6">
                  <c:v>0.90665248750559102</c:v>
                </c:pt>
                <c:pt idx="7">
                  <c:v>1.9858608101360089</c:v>
                </c:pt>
                <c:pt idx="8">
                  <c:v>2.5250301818908567</c:v>
                </c:pt>
                <c:pt idx="9">
                  <c:v>1.5386720705350103</c:v>
                </c:pt>
                <c:pt idx="10">
                  <c:v>2.3354616851339189</c:v>
                </c:pt>
                <c:pt idx="11">
                  <c:v>-0.9793772105055556</c:v>
                </c:pt>
                <c:pt idx="12">
                  <c:v>-1.491865303856454</c:v>
                </c:pt>
                <c:pt idx="13">
                  <c:v>-1.2453165293960811</c:v>
                </c:pt>
                <c:pt idx="14">
                  <c:v>-0.99442547201084508</c:v>
                </c:pt>
                <c:pt idx="15">
                  <c:v>-1.185635388695752</c:v>
                </c:pt>
                <c:pt idx="16">
                  <c:v>1.2914425077294598</c:v>
                </c:pt>
                <c:pt idx="17">
                  <c:v>1.9218402591999537</c:v>
                </c:pt>
                <c:pt idx="18">
                  <c:v>-0.25146525038021139</c:v>
                </c:pt>
                <c:pt idx="19">
                  <c:v>1.9822948932692452</c:v>
                </c:pt>
                <c:pt idx="20">
                  <c:v>-0.82222849977663881</c:v>
                </c:pt>
                <c:pt idx="21">
                  <c:v>1.6079030601955102</c:v>
                </c:pt>
                <c:pt idx="22">
                  <c:v>2.2494045071718989</c:v>
                </c:pt>
                <c:pt idx="23">
                  <c:v>1.3766225668340186</c:v>
                </c:pt>
                <c:pt idx="24">
                  <c:v>2.1187926480743577</c:v>
                </c:pt>
                <c:pt idx="25">
                  <c:v>1.4224695930286981</c:v>
                </c:pt>
                <c:pt idx="26">
                  <c:v>1.3502756144093269</c:v>
                </c:pt>
                <c:pt idx="27">
                  <c:v>0.88598237228904408</c:v>
                </c:pt>
                <c:pt idx="28">
                  <c:v>1.5623038367863737</c:v>
                </c:pt>
                <c:pt idx="29">
                  <c:v>2.1040513052868053</c:v>
                </c:pt>
                <c:pt idx="30">
                  <c:v>0.43420761487781934</c:v>
                </c:pt>
                <c:pt idx="31">
                  <c:v>2.6518994245559968</c:v>
                </c:pt>
                <c:pt idx="32">
                  <c:v>2.4196732994260928</c:v>
                </c:pt>
                <c:pt idx="33">
                  <c:v>2.0720098993317082</c:v>
                </c:pt>
                <c:pt idx="34">
                  <c:v>1.9467350203041198</c:v>
                </c:pt>
                <c:pt idx="35">
                  <c:v>0.1516997540541371</c:v>
                </c:pt>
                <c:pt idx="36">
                  <c:v>-4.4321423262626516E-2</c:v>
                </c:pt>
                <c:pt idx="37">
                  <c:v>1.9924197442036244</c:v>
                </c:pt>
                <c:pt idx="38">
                  <c:v>1.4615833679551953</c:v>
                </c:pt>
                <c:pt idx="39">
                  <c:v>1.8423734306664454</c:v>
                </c:pt>
                <c:pt idx="40">
                  <c:v>1.5495380927565499</c:v>
                </c:pt>
                <c:pt idx="41">
                  <c:v>2.7461826637884457</c:v>
                </c:pt>
                <c:pt idx="42">
                  <c:v>1.6734982378685381</c:v>
                </c:pt>
                <c:pt idx="43">
                  <c:v>2.1767550935826021</c:v>
                </c:pt>
                <c:pt idx="44">
                  <c:v>0.9221235897401483</c:v>
                </c:pt>
                <c:pt idx="45">
                  <c:v>1.3548390407530491</c:v>
                </c:pt>
                <c:pt idx="46">
                  <c:v>1.7698862356276062</c:v>
                </c:pt>
                <c:pt idx="47">
                  <c:v>0.78966007736569455</c:v>
                </c:pt>
                <c:pt idx="48">
                  <c:v>-0.81591374113328152</c:v>
                </c:pt>
                <c:pt idx="49">
                  <c:v>-0.15619700462512237</c:v>
                </c:pt>
                <c:pt idx="50">
                  <c:v>0.84971362903066927</c:v>
                </c:pt>
                <c:pt idx="51">
                  <c:v>1.55627625132429</c:v>
                </c:pt>
                <c:pt idx="52">
                  <c:v>6.9710887353716416E-2</c:v>
                </c:pt>
                <c:pt idx="53">
                  <c:v>-0.689249022703185</c:v>
                </c:pt>
                <c:pt idx="54">
                  <c:v>-0.17208551279584716</c:v>
                </c:pt>
                <c:pt idx="55">
                  <c:v>-1.3737350729358553</c:v>
                </c:pt>
                <c:pt idx="56">
                  <c:v>-0.20845510909858894</c:v>
                </c:pt>
                <c:pt idx="57">
                  <c:v>-1.5494894247043023</c:v>
                </c:pt>
                <c:pt idx="58">
                  <c:v>-1.5402377906425293</c:v>
                </c:pt>
                <c:pt idx="59">
                  <c:v>-5.8160511989105634</c:v>
                </c:pt>
                <c:pt idx="60">
                  <c:v>-0.74044932046244583</c:v>
                </c:pt>
                <c:pt idx="61">
                  <c:v>-1.1468213003834273</c:v>
                </c:pt>
                <c:pt idx="62">
                  <c:v>4.1598350578046131E-2</c:v>
                </c:pt>
                <c:pt idx="63">
                  <c:v>-0.15928636364244933</c:v>
                </c:pt>
                <c:pt idx="64">
                  <c:v>-1.0147455504863458</c:v>
                </c:pt>
                <c:pt idx="65">
                  <c:v>-0.35510365182273262</c:v>
                </c:pt>
                <c:pt idx="66">
                  <c:v>-0.22690373064940847</c:v>
                </c:pt>
                <c:pt idx="67">
                  <c:v>-5.798995815943337E-2</c:v>
                </c:pt>
                <c:pt idx="68">
                  <c:v>-1.1734088534012588</c:v>
                </c:pt>
                <c:pt idx="69">
                  <c:v>-1.441033754395596</c:v>
                </c:pt>
                <c:pt idx="70">
                  <c:v>-1.5903111039999509</c:v>
                </c:pt>
                <c:pt idx="71">
                  <c:v>-1.4788383028064485</c:v>
                </c:pt>
                <c:pt idx="72">
                  <c:v>-1.5432219129708005</c:v>
                </c:pt>
                <c:pt idx="73">
                  <c:v>-1.7366382696066478</c:v>
                </c:pt>
                <c:pt idx="74">
                  <c:v>-1.4439373789600083</c:v>
                </c:pt>
                <c:pt idx="75">
                  <c:v>-1.5850501713678793</c:v>
                </c:pt>
                <c:pt idx="76">
                  <c:v>-1.6052629227800157</c:v>
                </c:pt>
                <c:pt idx="77">
                  <c:v>-1.5515322189195002</c:v>
                </c:pt>
                <c:pt idx="78">
                  <c:v>-1.6816479834880524</c:v>
                </c:pt>
                <c:pt idx="79">
                  <c:v>-1.6359987031805925</c:v>
                </c:pt>
                <c:pt idx="80">
                  <c:v>-1.6886088409921542</c:v>
                </c:pt>
                <c:pt idx="81">
                  <c:v>-1.4234244190635419</c:v>
                </c:pt>
                <c:pt idx="82">
                  <c:v>-1.4131731430312733</c:v>
                </c:pt>
                <c:pt idx="83">
                  <c:v>-3.551499893334185</c:v>
                </c:pt>
                <c:pt idx="84">
                  <c:v>-1.8044447091168114</c:v>
                </c:pt>
                <c:pt idx="85">
                  <c:v>-2.0939061850961922</c:v>
                </c:pt>
                <c:pt idx="86">
                  <c:v>-3.2904780610190567</c:v>
                </c:pt>
                <c:pt idx="87">
                  <c:v>-2.1028173751790296</c:v>
                </c:pt>
                <c:pt idx="88">
                  <c:v>-1.3314989732711684</c:v>
                </c:pt>
                <c:pt idx="89">
                  <c:v>-1.4482076001164463</c:v>
                </c:pt>
                <c:pt idx="90">
                  <c:v>-2.3983312404686319</c:v>
                </c:pt>
                <c:pt idx="91">
                  <c:v>-2.2307544084699145</c:v>
                </c:pt>
                <c:pt idx="92">
                  <c:v>-2.2116236355309158</c:v>
                </c:pt>
                <c:pt idx="93">
                  <c:v>-2.4675485962730588</c:v>
                </c:pt>
                <c:pt idx="94">
                  <c:v>-1.7102928070770618</c:v>
                </c:pt>
                <c:pt idx="95">
                  <c:v>-2.1746400160910193</c:v>
                </c:pt>
                <c:pt idx="96">
                  <c:v>-1.6825742794333165</c:v>
                </c:pt>
                <c:pt idx="97">
                  <c:v>-2.011627374464076</c:v>
                </c:pt>
                <c:pt idx="98">
                  <c:v>-2.0886316387618096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F0-4776-A1F5-774863B22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01232"/>
        <c:axId val="523202672"/>
      </c:scatterChart>
      <c:valAx>
        <c:axId val="52320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F1 (40.48 %)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23202672"/>
        <c:crosses val="autoZero"/>
        <c:crossBetween val="midCat"/>
      </c:valAx>
      <c:valAx>
        <c:axId val="5232026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F2 (16.84 %)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2320123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Biplot (axes F1 and F2: 57.33 %)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Energy_kcal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00-4422-AC6E-2A56FCA89B9E}"/>
                </c:ext>
              </c:extLst>
            </c:dLbl>
            <c:dLbl>
              <c:idx val="1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Protein_g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00-4422-AC6E-2A56FCA89B9E}"/>
                </c:ext>
              </c:extLst>
            </c:dLbl>
            <c:dLbl>
              <c:idx val="2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Fat_g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00-4422-AC6E-2A56FCA89B9E}"/>
                </c:ext>
              </c:extLst>
            </c:dLbl>
            <c:dLbl>
              <c:idx val="3"/>
              <c:layout>
                <c:manualLayout>
                  <c:x val="-1.7361111111111237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Carb_g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00-4422-AC6E-2A56FCA89B9E}"/>
                </c:ext>
              </c:extLst>
            </c:dLbl>
            <c:dLbl>
              <c:idx val="4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Sugar_g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00-4422-AC6E-2A56FCA89B9E}"/>
                </c:ext>
              </c:extLst>
            </c:dLbl>
            <c:dLbl>
              <c:idx val="5"/>
              <c:layout>
                <c:manualLayout>
                  <c:x val="-0.1046875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Fiber_g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00-4422-AC6E-2A56FCA89B9E}"/>
                </c:ext>
              </c:extLst>
            </c:dLbl>
            <c:dLbl>
              <c:idx val="6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VitA_mcg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00-4422-AC6E-2A56FCA89B9E}"/>
                </c:ext>
              </c:extLst>
            </c:dLbl>
            <c:dLbl>
              <c:idx val="7"/>
              <c:layout>
                <c:manualLayout>
                  <c:x val="-1.736111111111111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VitB6_mg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00-4422-AC6E-2A56FCA89B9E}"/>
                </c:ext>
              </c:extLst>
            </c:dLbl>
            <c:dLbl>
              <c:idx val="8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VitB12_mcg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00-4422-AC6E-2A56FCA89B9E}"/>
                </c:ext>
              </c:extLst>
            </c:dLbl>
            <c:dLbl>
              <c:idx val="9"/>
              <c:layout>
                <c:manualLayout>
                  <c:x val="-1.7361111111111174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00-4422-AC6E-2A56FCA89B9E}"/>
                </c:ext>
              </c:extLst>
            </c:dLbl>
            <c:dLbl>
              <c:idx val="10"/>
              <c:layout>
                <c:manualLayout>
                  <c:x val="-0.11276055336832896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VitE_mg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00-4422-AC6E-2A56FCA89B9E}"/>
                </c:ext>
              </c:extLst>
            </c:dLbl>
            <c:dLbl>
              <c:idx val="11"/>
              <c:layout>
                <c:manualLayout>
                  <c:x val="-1.736111111111111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Folate_mcg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00-4422-AC6E-2A56FCA89B9E}"/>
                </c:ext>
              </c:extLst>
            </c:dLbl>
            <c:dLbl>
              <c:idx val="12"/>
              <c:layout>
                <c:manualLayout>
                  <c:x val="-1.736111111111111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Niacin_mg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00-4422-AC6E-2A56FCA89B9E}"/>
                </c:ext>
              </c:extLst>
            </c:dLbl>
            <c:dLbl>
              <c:idx val="13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Riboflavin_mg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00-4422-AC6E-2A56FCA89B9E}"/>
                </c:ext>
              </c:extLst>
            </c:dLbl>
            <c:dLbl>
              <c:idx val="14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Thiamin_mg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00-4422-AC6E-2A56FCA89B9E}"/>
                </c:ext>
              </c:extLst>
            </c:dLbl>
            <c:dLbl>
              <c:idx val="15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Calcium_mg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00-4422-AC6E-2A56FCA89B9E}"/>
                </c:ext>
              </c:extLst>
            </c:dLbl>
            <c:dLbl>
              <c:idx val="16"/>
              <c:layout>
                <c:manualLayout>
                  <c:x val="-1.7361111111111112E-2"/>
                  <c:y val="1.7361111111110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Copper_mcg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00-4422-AC6E-2A56FCA89B9E}"/>
                </c:ext>
              </c:extLst>
            </c:dLbl>
            <c:dLbl>
              <c:idx val="17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Iron_mg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00-4422-AC6E-2A56FCA89B9E}"/>
                </c:ext>
              </c:extLst>
            </c:dLbl>
            <c:dLbl>
              <c:idx val="18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Magnesium_mg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500-4422-AC6E-2A56FCA89B9E}"/>
                </c:ext>
              </c:extLst>
            </c:dLbl>
            <c:dLbl>
              <c:idx val="19"/>
              <c:layout>
                <c:manualLayout>
                  <c:x val="-1.7361111111111112E-2"/>
                  <c:y val="1.73611111111111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Manganese_mg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500-4422-AC6E-2A56FCA89B9E}"/>
                </c:ext>
              </c:extLst>
            </c:dLbl>
            <c:dLbl>
              <c:idx val="20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Phosphorus_mg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500-4422-AC6E-2A56FCA89B9E}"/>
                </c:ext>
              </c:extLst>
            </c:dLbl>
            <c:dLbl>
              <c:idx val="21"/>
              <c:layout>
                <c:manualLayout>
                  <c:x val="-1.7361111111111112E-2"/>
                  <c:y val="-3.08641975308641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Selenium_mcg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00-4422-AC6E-2A56FCA89B9E}"/>
                </c:ext>
              </c:extLst>
            </c:dLbl>
            <c:dLbl>
              <c:idx val="22"/>
              <c:layout>
                <c:manualLayout>
                  <c:x val="-1.7361111111111112E-2"/>
                  <c:y val="-3.0864197530864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Zinc_mg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00-4422-AC6E-2A56FCA89B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4A46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XLSTAT_20240328_054226_1_HID3!$A$1:$A$23</c:f>
              <c:numCache>
                <c:formatCode>General</c:formatCode>
                <c:ptCount val="23"/>
                <c:pt idx="0">
                  <c:v>4.0424277629776411</c:v>
                </c:pt>
                <c:pt idx="1">
                  <c:v>8.2804797023745174</c:v>
                </c:pt>
                <c:pt idx="2">
                  <c:v>0.40564311473884962</c:v>
                </c:pt>
                <c:pt idx="3">
                  <c:v>4.6147574774866902</c:v>
                </c:pt>
                <c:pt idx="4">
                  <c:v>3.4004130382262048</c:v>
                </c:pt>
                <c:pt idx="5">
                  <c:v>-1.4023424683928822</c:v>
                </c:pt>
                <c:pt idx="6">
                  <c:v>2.3330751094261668</c:v>
                </c:pt>
                <c:pt idx="7">
                  <c:v>8.0205235334520459</c:v>
                </c:pt>
                <c:pt idx="8">
                  <c:v>8.77975503747445</c:v>
                </c:pt>
                <c:pt idx="9">
                  <c:v>4.7295141533210572</c:v>
                </c:pt>
                <c:pt idx="10">
                  <c:v>-1.8733127184478173</c:v>
                </c:pt>
                <c:pt idx="11">
                  <c:v>6.5385793093642572</c:v>
                </c:pt>
                <c:pt idx="12">
                  <c:v>4.8401185389216508</c:v>
                </c:pt>
                <c:pt idx="13">
                  <c:v>8.6836455497814065</c:v>
                </c:pt>
                <c:pt idx="14">
                  <c:v>7.5947245601956705</c:v>
                </c:pt>
                <c:pt idx="15">
                  <c:v>8.1279567692279198</c:v>
                </c:pt>
                <c:pt idx="16">
                  <c:v>3.4547204351077641</c:v>
                </c:pt>
                <c:pt idx="17">
                  <c:v>4.4023672297728806</c:v>
                </c:pt>
                <c:pt idx="18">
                  <c:v>8.855428159910355</c:v>
                </c:pt>
                <c:pt idx="19">
                  <c:v>4.9752689474143436E-2</c:v>
                </c:pt>
                <c:pt idx="20">
                  <c:v>8.5437284604588974</c:v>
                </c:pt>
                <c:pt idx="21">
                  <c:v>7.9435281089131466</c:v>
                </c:pt>
                <c:pt idx="22">
                  <c:v>8.2025948338189973</c:v>
                </c:pt>
              </c:numCache>
            </c:numRef>
          </c:xVal>
          <c:yVal>
            <c:numRef>
              <c:f>XLSTAT_20240328_054226_1_HID3!$B$1:$B$23</c:f>
              <c:numCache>
                <c:formatCode>General</c:formatCode>
                <c:ptCount val="23"/>
                <c:pt idx="0">
                  <c:v>11.304022354605497</c:v>
                </c:pt>
                <c:pt idx="1">
                  <c:v>4.6681985330133582</c:v>
                </c:pt>
                <c:pt idx="2">
                  <c:v>13.181038027634257</c:v>
                </c:pt>
                <c:pt idx="3">
                  <c:v>-6.0001076852135489</c:v>
                </c:pt>
                <c:pt idx="4">
                  <c:v>-5.3625331817229087</c:v>
                </c:pt>
                <c:pt idx="5">
                  <c:v>-3.869716193770925</c:v>
                </c:pt>
                <c:pt idx="6">
                  <c:v>10.983906524128967</c:v>
                </c:pt>
                <c:pt idx="7">
                  <c:v>-4.0757282938571029</c:v>
                </c:pt>
                <c:pt idx="8">
                  <c:v>5.3371991089989825E-3</c:v>
                </c:pt>
                <c:pt idx="9">
                  <c:v>-6.6257385644114306</c:v>
                </c:pt>
                <c:pt idx="10">
                  <c:v>8.5984616257777589</c:v>
                </c:pt>
                <c:pt idx="11">
                  <c:v>0.28863366840348703</c:v>
                </c:pt>
                <c:pt idx="12">
                  <c:v>-5.3916001445134771</c:v>
                </c:pt>
                <c:pt idx="13">
                  <c:v>-2.8599852219171407</c:v>
                </c:pt>
                <c:pt idx="14">
                  <c:v>-6.5253423598872837</c:v>
                </c:pt>
                <c:pt idx="15">
                  <c:v>4.2265622174249131</c:v>
                </c:pt>
                <c:pt idx="16">
                  <c:v>-5.203211617866077</c:v>
                </c:pt>
                <c:pt idx="17">
                  <c:v>5.0921614789822218</c:v>
                </c:pt>
                <c:pt idx="18">
                  <c:v>-3.695157868263609</c:v>
                </c:pt>
                <c:pt idx="19">
                  <c:v>-0.38458850153537455</c:v>
                </c:pt>
                <c:pt idx="20">
                  <c:v>3.2015084271958352</c:v>
                </c:pt>
                <c:pt idx="21">
                  <c:v>4.1609867713480941</c:v>
                </c:pt>
                <c:pt idx="22">
                  <c:v>4.5598532499255926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0-4422-AC6E-2A56FCA89B9E}"/>
            </c:ext>
          </c:extLst>
        </c:ser>
        <c:ser>
          <c:idx val="1"/>
          <c:order val="1"/>
          <c:tx>
            <c:v>Active observations</c:v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IN"/>
                      <a:t>Butter, salted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500-4422-AC6E-2A56FCA89B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IN"/>
                      <a:t>Butter, whipped, with salt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500-4422-AC6E-2A56FCA89B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IN"/>
                      <a:t>Butter oil, anhydrous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500-4422-AC6E-2A56FCA89B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IN"/>
                      <a:t>Cheese, blue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500-4422-AC6E-2A56FCA89B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IN"/>
                      <a:t>Cheese, brick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00-4422-AC6E-2A56FCA89B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IN"/>
                      <a:t>Cheese, brie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500-4422-AC6E-2A56FCA89B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IN"/>
                      <a:t>Cheese, camembert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500-4422-AC6E-2A56FCA89B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IN"/>
                      <a:t>Cheese, caraway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500-4422-AC6E-2A56FCA89B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IN"/>
                      <a:t>Cheese, cheddar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500-4422-AC6E-2A56FCA89B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IN"/>
                      <a:t>Cheese, cheshire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500-4422-AC6E-2A56FCA89B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IN"/>
                      <a:t>Cheese, colby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F500-4422-AC6E-2A56FCA89B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IN"/>
                      <a:t>Cheese, cottage, creamed, large or small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F500-4422-AC6E-2A56FCA89B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IN"/>
                      <a:t>Cheese, cottage, creamed, with fruit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F500-4422-AC6E-2A56FCA89B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IN"/>
                      <a:t>Cheese, cottage, nonfat, uncreamed, dry, large or small curd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F500-4422-AC6E-2A56FCA89B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IN"/>
                      <a:t>Cheese, cottage, lowfat, 2%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F500-4422-AC6E-2A56FCA89B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IN"/>
                      <a:t>Cheese, cottage, lowfat, 1%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F500-4422-AC6E-2A56FCA89B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IN"/>
                      <a:t>Cheese, cream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F500-4422-AC6E-2A56FCA89B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IN"/>
                      <a:t>Cheese, edam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F500-4422-AC6E-2A56FCA89B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IN"/>
                      <a:t>Cheese, feta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F500-4422-AC6E-2A56FCA89B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IN"/>
                      <a:t>Cheese, fontina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F500-4422-AC6E-2A56FCA89B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IN"/>
                      <a:t>Cheese, gjetost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F500-4422-AC6E-2A56FCA89B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IN"/>
                      <a:t>Cheese, gouda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F500-4422-AC6E-2A56FCA89B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IN"/>
                      <a:t>Cheese, gruyere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F500-4422-AC6E-2A56FCA89B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IN"/>
                      <a:t>Cheese, limburger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F500-4422-AC6E-2A56FCA89B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IN"/>
                      <a:t>Cheese, monterey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F500-4422-AC6E-2A56FCA89B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IN"/>
                      <a:t>Cheese, mozzarella, whole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F500-4422-AC6E-2A56FCA89B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IN"/>
                      <a:t>Cheese, mozzarella, whole milk, low moisture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F500-4422-AC6E-2A56FCA89B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IN"/>
                      <a:t>Cheese, mozzarella, 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F500-4422-AC6E-2A56FCA89B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IN"/>
                      <a:t>Cheese, mozzarella, low moisture, part-skim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F500-4422-AC6E-2A56FCA89B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IN"/>
                      <a:t>Cheese, muenster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F500-4422-AC6E-2A56FCA89B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IN"/>
                      <a:t>Cheese, neufchatel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F500-4422-AC6E-2A56FCA89B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IN"/>
                      <a:t>Cheese, parmesan, grated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F500-4422-AC6E-2A56FCA89B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IN"/>
                      <a:t>Cheese, parmesan, hard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F500-4422-AC6E-2A56FCA89B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IN"/>
                      <a:t>Cheese, port de salut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F500-4422-AC6E-2A56FCA89B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IN"/>
                      <a:t>Cheese, provolone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F500-4422-AC6E-2A56FCA89B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IN"/>
                      <a:t>Cheese, ricotta, whole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F500-4422-AC6E-2A56FCA89B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IN"/>
                      <a:t>Cheese, ricotta, part skim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F500-4422-AC6E-2A56FCA89B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IN"/>
                      <a:t>Cheese, romano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F500-4422-AC6E-2A56FCA89B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IN"/>
                      <a:t>Cheese, roquefort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F500-4422-AC6E-2A56FCA89B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IN"/>
                      <a:t>Cheese, 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F500-4422-AC6E-2A56FCA89B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IN"/>
                      <a:t>Cheese, tilsit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F500-4422-AC6E-2A56FCA89B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IN"/>
                      <a:t>Cheese, pasteurized process, American, fortified with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F500-4422-AC6E-2A56FCA89B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IN"/>
                      <a:t>Cheese, pasteurized process, pimento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F500-4422-AC6E-2A56FCA89B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IN"/>
                      <a:t>Cheese, pasteurized process, 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F500-4422-AC6E-2A56FCA89B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IN"/>
                      <a:t>Cheese food, cold pack, 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F500-4422-AC6E-2A56FCA89B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IN"/>
                      <a:t>Cheese food, pasteurized process, American, vitamin D fortified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F500-4422-AC6E-2A56FCA89B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IN"/>
                      <a:t>Cheese food, pasteurized process, swiss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F500-4422-AC6E-2A56FCA89B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IN"/>
                      <a:t>Cheese spread, pasteurized process, American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F500-4422-AC6E-2A56FCA89B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IN"/>
                      <a:t>Cream, fluid, half and half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F500-4422-AC6E-2A56FCA89B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IN"/>
                      <a:t>Cream, fluid, light (coffee cream or table cream)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F500-4422-AC6E-2A56FCA89B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IN"/>
                      <a:t>Cream, fluid, light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F500-4422-AC6E-2A56FCA89B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IN"/>
                      <a:t>Cream, fluid, heavy whipping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F500-4422-AC6E-2A56FCA89B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IN"/>
                      <a:t>Cream, whipped, cream topping, 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F500-4422-AC6E-2A56FCA89B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IN"/>
                      <a:t>Cream, sour, reduced fat, 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F500-4422-AC6E-2A56FCA89B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IN"/>
                      <a:t>Cream, sour, 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F500-4422-AC6E-2A56FCA89B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IN"/>
                      <a:t>Eggnog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F500-4422-AC6E-2A56FCA89B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IN"/>
                      <a:t>Sour dressing, non-butterfat, cultured, filled cream-type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F500-4422-AC6E-2A56FCA89B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IN"/>
                      <a:t>Milk, filled, fluid, with blend of hydrogenated vegetable oils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F500-4422-AC6E-2A56FCA89B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IN"/>
                      <a:t>Milk, filled, fluid, with 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F500-4422-AC6E-2A56FCA89B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IN"/>
                      <a:t>Cheese, American, nonfat or fat free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F500-4422-AC6E-2A56FCA89B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IN"/>
                      <a:t>Cream substitute, liquid, with hydrogenated vegetable oil and soy protein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F500-4422-AC6E-2A56FCA89B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IN"/>
                      <a:t>Cream substitute, liquid, with lauric acid oil and sodium caseinate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F500-4422-AC6E-2A56FCA89B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IN"/>
                      <a:t>Cream substitute, 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F500-4422-AC6E-2A56FCA89B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IN"/>
                      <a:t>Dessert topping, powdered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F500-4422-AC6E-2A56FCA89B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IN"/>
                      <a:t>Dessert topping, powdered, 1.5 ounce prepared with 1/2 cup milk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F500-4422-AC6E-2A56FCA89B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IN"/>
                      <a:t>Dessert topping, pressurized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F500-4422-AC6E-2A56FCA89B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IN"/>
                      <a:t>Dessert topping, semi solid, frozen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F500-4422-AC6E-2A56FCA89B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IN"/>
                      <a:t>Sour cream, imitation, cultured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F500-4422-AC6E-2A56FCA89B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IN"/>
                      <a:t>Milk substitutes, fluid, with lauric acid oil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F500-4422-AC6E-2A56FCA89B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IN"/>
                      <a:t>Milk, whole, 3.25% milkfat, with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F500-4422-AC6E-2A56FCA89B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IN"/>
                      <a:t>Milk, producer, fluid, 3.7% milkfat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F500-4422-AC6E-2A56FCA89B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IN"/>
                      <a:t>Milk, reduced fat, fluid, 2% milkfat,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F500-4422-AC6E-2A56FCA89B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IN"/>
                      <a:t>Milk, reduced fat, fluid, 2% milkfat, with added nonfat milk solids and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F500-4422-AC6E-2A56FCA89B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IN"/>
                      <a:t>Milk, reduced fat, fluid, 2% milkfat, protein fortified,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F500-4422-AC6E-2A56FCA89B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IN"/>
                      <a:t>Milk, lowfat, fluid, 1% milkfat,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F500-4422-AC6E-2A56FCA89B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IN"/>
                      <a:t>Milk, lowfat, fluid, 1% milkfat, with added nonfat milk solids,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F500-4422-AC6E-2A56FCA89B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IN"/>
                      <a:t>Milk, lowfat, fluid, 1% milkfat, protein fortified,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F500-4422-AC6E-2A56FCA89B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IN"/>
                      <a:t>Milk, nonfat, fluid, with added vitamin A and vitamin D (fat free or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F500-4422-AC6E-2A56FCA89B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IN"/>
                      <a:t>Milk, nonfat, fluid, with added nonfat milk solids, vitamin A and vitamin D (fat free or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F500-4422-AC6E-2A56FCA89B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IN"/>
                      <a:t>Milk, nonfat, fluid, protein fortified, with added vitamin A and vitamin D (fat free and skim)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F500-4422-AC6E-2A56FCA89B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IN"/>
                      <a:t>Milk, buttermilk, fluid, cultured, lowfat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F500-4422-AC6E-2A56FCA89B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IN"/>
                      <a:t>Milk, low sodium,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F500-4422-AC6E-2A56FCA89B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IN"/>
                      <a:t>Milk, dry, whole, with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F500-4422-AC6E-2A56FCA89B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IN"/>
                      <a:t>Milk, dry, nonfat, regular, without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F500-4422-AC6E-2A56FCA89B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IN"/>
                      <a:t>Milk, dry, nonfat, instant,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F500-4422-AC6E-2A56FCA89B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IN"/>
                      <a:t>Milk, dry, nonfat, calcium reduced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F500-4422-AC6E-2A56FCA89B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IN"/>
                      <a:t>Milk, buttermilk, dried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F500-4422-AC6E-2A56FCA89B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IN"/>
                      <a:t>Milk, canned, condensed, sweetened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F500-4422-AC6E-2A56FCA89B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IN"/>
                      <a:t>Milk, canned, evaporated, with added vitamin D and without added vitamin 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F500-4422-AC6E-2A56FCA89B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IN"/>
                      <a:t>Milk, canned, evaporated, nonfat,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F500-4422-AC6E-2A56FCA89B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IN"/>
                      <a:t>Milk, chocolate, fluid, commercial, whole,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F500-4422-AC6E-2A56FCA89B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IN"/>
                      <a:t>Milk, chocolate, fluid, commercial, reduced 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F500-4422-AC6E-2A56FCA89B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IN"/>
                      <a:t>Milk, chocolate, fluid, commercial, lowfat, with added vitamin A and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F500-4422-AC6E-2A56FCA89B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IN"/>
                      <a:t>Milk, chocolate beverage, hot cocoa, homemade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F500-4422-AC6E-2A56FCA89B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IN"/>
                      <a:t>Milk, goat, fluid, with added vitamin 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F500-4422-AC6E-2A56FCA89B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IN"/>
                      <a:t>Milk, human, mature,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F500-4422-AC6E-2A56FCA89B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IN"/>
                      <a:t>Milk, indian buffalo,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F500-4422-AC6E-2A56FCA89B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IN"/>
                      <a:t>Milk, sheep, fluid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F500-4422-AC6E-2A56FCA89B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IN"/>
                      <a:t>Milk shakes, thick chocolate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F500-4422-AC6E-2A56FCA89B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XLSTAT_20240328_054226_1_HID3!$C$1:$C$99</c:f>
              <c:numCache>
                <c:formatCode>General</c:formatCode>
                <c:ptCount val="99"/>
                <c:pt idx="0">
                  <c:v>-2.7700104667885692</c:v>
                </c:pt>
                <c:pt idx="1">
                  <c:v>-2.6693152229172581</c:v>
                </c:pt>
                <c:pt idx="2">
                  <c:v>-2.9035495123890689</c:v>
                </c:pt>
                <c:pt idx="3">
                  <c:v>1.7344225528675339</c:v>
                </c:pt>
                <c:pt idx="4">
                  <c:v>1.2435051828369124</c:v>
                </c:pt>
                <c:pt idx="5">
                  <c:v>1.9941909850412014</c:v>
                </c:pt>
                <c:pt idx="6">
                  <c:v>1.9509882963164666</c:v>
                </c:pt>
                <c:pt idx="7">
                  <c:v>1.3737116003663408</c:v>
                </c:pt>
                <c:pt idx="8">
                  <c:v>1.7856672549536377</c:v>
                </c:pt>
                <c:pt idx="9">
                  <c:v>1.0609851364915721</c:v>
                </c:pt>
                <c:pt idx="10">
                  <c:v>1.5298188280466478</c:v>
                </c:pt>
                <c:pt idx="11">
                  <c:v>-1.7807359408741863</c:v>
                </c:pt>
                <c:pt idx="12">
                  <c:v>-1.6946330745298233</c:v>
                </c:pt>
                <c:pt idx="13">
                  <c:v>-1.7342345383180762</c:v>
                </c:pt>
                <c:pt idx="14">
                  <c:v>-1.5659010878296575</c:v>
                </c:pt>
                <c:pt idx="15">
                  <c:v>-1.734358629325321</c:v>
                </c:pt>
                <c:pt idx="16">
                  <c:v>-1.7657616908505989</c:v>
                </c:pt>
                <c:pt idx="17">
                  <c:v>1.8729999208483048</c:v>
                </c:pt>
                <c:pt idx="18">
                  <c:v>3.1990037565171523</c:v>
                </c:pt>
                <c:pt idx="19">
                  <c:v>0.87280074351675407</c:v>
                </c:pt>
                <c:pt idx="20">
                  <c:v>4.4391324470032814</c:v>
                </c:pt>
                <c:pt idx="21">
                  <c:v>1.7370561389722357</c:v>
                </c:pt>
                <c:pt idx="22">
                  <c:v>2.1856132172238789</c:v>
                </c:pt>
                <c:pt idx="23">
                  <c:v>1.4955331233917648</c:v>
                </c:pt>
                <c:pt idx="24">
                  <c:v>1.4788644700082378</c:v>
                </c:pt>
                <c:pt idx="25">
                  <c:v>0.96243773729951776</c:v>
                </c:pt>
                <c:pt idx="26">
                  <c:v>0.39410999401084557</c:v>
                </c:pt>
                <c:pt idx="27">
                  <c:v>0.75910221262003541</c:v>
                </c:pt>
                <c:pt idx="28">
                  <c:v>2.476185508459515</c:v>
                </c:pt>
                <c:pt idx="29">
                  <c:v>1.2543099515600431</c:v>
                </c:pt>
                <c:pt idx="30">
                  <c:v>-1.7150662137549832</c:v>
                </c:pt>
                <c:pt idx="31">
                  <c:v>2.9130453844624338</c:v>
                </c:pt>
                <c:pt idx="32">
                  <c:v>3.0147542680708397</c:v>
                </c:pt>
                <c:pt idx="33">
                  <c:v>1.0034163067494519</c:v>
                </c:pt>
                <c:pt idx="34">
                  <c:v>1.5409494784099538</c:v>
                </c:pt>
                <c:pt idx="35">
                  <c:v>-1.1193755027885457</c:v>
                </c:pt>
                <c:pt idx="36">
                  <c:v>-0.87743306801363319</c:v>
                </c:pt>
                <c:pt idx="37">
                  <c:v>2.3927991450639832</c:v>
                </c:pt>
                <c:pt idx="38">
                  <c:v>2.0922384811666066</c:v>
                </c:pt>
                <c:pt idx="39">
                  <c:v>2.6829535524811057</c:v>
                </c:pt>
                <c:pt idx="40">
                  <c:v>1.666954766775407</c:v>
                </c:pt>
                <c:pt idx="41">
                  <c:v>1.7173372361938557</c:v>
                </c:pt>
                <c:pt idx="42">
                  <c:v>1.4057315719125594</c:v>
                </c:pt>
                <c:pt idx="43">
                  <c:v>1.6575182368052235</c:v>
                </c:pt>
                <c:pt idx="44">
                  <c:v>1.4599321851782432</c:v>
                </c:pt>
                <c:pt idx="45">
                  <c:v>1.1212470077135848</c:v>
                </c:pt>
                <c:pt idx="46">
                  <c:v>1.7918784720490051</c:v>
                </c:pt>
                <c:pt idx="47">
                  <c:v>1.2219170028170436</c:v>
                </c:pt>
                <c:pt idx="48">
                  <c:v>-2.3397705920288696</c:v>
                </c:pt>
                <c:pt idx="49">
                  <c:v>-2.5304567012201313</c:v>
                </c:pt>
                <c:pt idx="50">
                  <c:v>-2.6048471641057938</c:v>
                </c:pt>
                <c:pt idx="51">
                  <c:v>-2.5617776559124308</c:v>
                </c:pt>
                <c:pt idx="52">
                  <c:v>-2.3049662356980631</c:v>
                </c:pt>
                <c:pt idx="53">
                  <c:v>-2.3069441756775273</c:v>
                </c:pt>
                <c:pt idx="54">
                  <c:v>-2.0718546908689985</c:v>
                </c:pt>
                <c:pt idx="55">
                  <c:v>-1.8148943511814741</c:v>
                </c:pt>
                <c:pt idx="56">
                  <c:v>-2.4014342563981064</c:v>
                </c:pt>
                <c:pt idx="57">
                  <c:v>-2.4020792254855836</c:v>
                </c:pt>
                <c:pt idx="58">
                  <c:v>-2.3767343627227944</c:v>
                </c:pt>
                <c:pt idx="59">
                  <c:v>7.5240689164632562</c:v>
                </c:pt>
                <c:pt idx="60">
                  <c:v>-3.3640780446396787</c:v>
                </c:pt>
                <c:pt idx="61">
                  <c:v>-3.306525997298766</c:v>
                </c:pt>
                <c:pt idx="62">
                  <c:v>-0.343800698961229</c:v>
                </c:pt>
                <c:pt idx="63">
                  <c:v>-1.7770102670566521</c:v>
                </c:pt>
                <c:pt idx="64">
                  <c:v>-2.1476648216577301</c:v>
                </c:pt>
                <c:pt idx="65">
                  <c:v>-3.1451568572930366</c:v>
                </c:pt>
                <c:pt idx="66">
                  <c:v>-2.858609689231606</c:v>
                </c:pt>
                <c:pt idx="67">
                  <c:v>-2.6714218443740219</c:v>
                </c:pt>
                <c:pt idx="68">
                  <c:v>-2.6547786995833653</c:v>
                </c:pt>
                <c:pt idx="69">
                  <c:v>-2.3176880833561926</c:v>
                </c:pt>
                <c:pt idx="70">
                  <c:v>-2.2685186614853468</c:v>
                </c:pt>
                <c:pt idx="71">
                  <c:v>-2.3043388456406966</c:v>
                </c:pt>
                <c:pt idx="72">
                  <c:v>-2.2391344693294482</c:v>
                </c:pt>
                <c:pt idx="73">
                  <c:v>-2.0306672901917682</c:v>
                </c:pt>
                <c:pt idx="74">
                  <c:v>-2.3648240272683645</c:v>
                </c:pt>
                <c:pt idx="75">
                  <c:v>-2.240868276307542</c:v>
                </c:pt>
                <c:pt idx="76">
                  <c:v>-2.0457746177404372</c:v>
                </c:pt>
                <c:pt idx="77">
                  <c:v>-2.2856252604143239</c:v>
                </c:pt>
                <c:pt idx="78">
                  <c:v>-2.1674411979782682</c:v>
                </c:pt>
                <c:pt idx="79">
                  <c:v>-2.0581921786409367</c:v>
                </c:pt>
                <c:pt idx="80">
                  <c:v>-2.4258296736597398</c:v>
                </c:pt>
                <c:pt idx="81">
                  <c:v>-2.5730648906427751</c:v>
                </c:pt>
                <c:pt idx="82">
                  <c:v>7.914107185464637</c:v>
                </c:pt>
                <c:pt idx="83">
                  <c:v>10.635532765419553</c:v>
                </c:pt>
                <c:pt idx="84">
                  <c:v>11.069285199887943</c:v>
                </c:pt>
                <c:pt idx="85">
                  <c:v>7.7336959006770902</c:v>
                </c:pt>
                <c:pt idx="86">
                  <c:v>9.995297173200056</c:v>
                </c:pt>
                <c:pt idx="87">
                  <c:v>0.90196589734951216</c:v>
                </c:pt>
                <c:pt idx="88">
                  <c:v>-1.1608989891600663</c:v>
                </c:pt>
                <c:pt idx="89">
                  <c:v>-1.0045475316315082</c:v>
                </c:pt>
                <c:pt idx="90">
                  <c:v>-2.1848430636163196</c:v>
                </c:pt>
                <c:pt idx="91">
                  <c:v>-2.1732171510750575</c:v>
                </c:pt>
                <c:pt idx="92">
                  <c:v>-2.0200990623186619</c:v>
                </c:pt>
                <c:pt idx="93">
                  <c:v>-1.8179347276139028</c:v>
                </c:pt>
                <c:pt idx="94">
                  <c:v>-2.2309022290824898</c:v>
                </c:pt>
                <c:pt idx="95">
                  <c:v>-2.4873901641340188</c:v>
                </c:pt>
                <c:pt idx="96">
                  <c:v>-1.825122159403834</c:v>
                </c:pt>
                <c:pt idx="97">
                  <c:v>-1.0198683936810182</c:v>
                </c:pt>
                <c:pt idx="98">
                  <c:v>-1.6950929685149529</c:v>
                </c:pt>
              </c:numCache>
            </c:numRef>
          </c:xVal>
          <c:yVal>
            <c:numRef>
              <c:f>XLSTAT_20240328_054226_1_HID3!$D$1:$D$99</c:f>
              <c:numCache>
                <c:formatCode>General</c:formatCode>
                <c:ptCount val="99"/>
                <c:pt idx="0">
                  <c:v>5.1631674639664995</c:v>
                </c:pt>
                <c:pt idx="1">
                  <c:v>5.2121028939294183</c:v>
                </c:pt>
                <c:pt idx="2">
                  <c:v>6.6204529506929841</c:v>
                </c:pt>
                <c:pt idx="3">
                  <c:v>1.0655772934224628</c:v>
                </c:pt>
                <c:pt idx="4">
                  <c:v>2.0481183279592559</c:v>
                </c:pt>
                <c:pt idx="5">
                  <c:v>0.88145056911490349</c:v>
                </c:pt>
                <c:pt idx="6">
                  <c:v>0.90665248750559102</c:v>
                </c:pt>
                <c:pt idx="7">
                  <c:v>1.9858608101360089</c:v>
                </c:pt>
                <c:pt idx="8">
                  <c:v>2.5250301818908567</c:v>
                </c:pt>
                <c:pt idx="9">
                  <c:v>1.5386720705350103</c:v>
                </c:pt>
                <c:pt idx="10">
                  <c:v>2.3354616851339189</c:v>
                </c:pt>
                <c:pt idx="11">
                  <c:v>-0.9793772105055556</c:v>
                </c:pt>
                <c:pt idx="12">
                  <c:v>-1.491865303856454</c:v>
                </c:pt>
                <c:pt idx="13">
                  <c:v>-1.2453165293960811</c:v>
                </c:pt>
                <c:pt idx="14">
                  <c:v>-0.99442547201084508</c:v>
                </c:pt>
                <c:pt idx="15">
                  <c:v>-1.185635388695752</c:v>
                </c:pt>
                <c:pt idx="16">
                  <c:v>1.2914425077294598</c:v>
                </c:pt>
                <c:pt idx="17">
                  <c:v>1.9218402591999537</c:v>
                </c:pt>
                <c:pt idx="18">
                  <c:v>-0.25146525038021139</c:v>
                </c:pt>
                <c:pt idx="19">
                  <c:v>1.9822948932692452</c:v>
                </c:pt>
                <c:pt idx="20">
                  <c:v>-0.82222849977663881</c:v>
                </c:pt>
                <c:pt idx="21">
                  <c:v>1.6079030601955102</c:v>
                </c:pt>
                <c:pt idx="22">
                  <c:v>2.2494045071718989</c:v>
                </c:pt>
                <c:pt idx="23">
                  <c:v>1.3766225668340186</c:v>
                </c:pt>
                <c:pt idx="24">
                  <c:v>2.1187926480743577</c:v>
                </c:pt>
                <c:pt idx="25">
                  <c:v>1.4224695930286981</c:v>
                </c:pt>
                <c:pt idx="26">
                  <c:v>1.3502756144093269</c:v>
                </c:pt>
                <c:pt idx="27">
                  <c:v>0.88598237228904408</c:v>
                </c:pt>
                <c:pt idx="28">
                  <c:v>1.5623038367863737</c:v>
                </c:pt>
                <c:pt idx="29">
                  <c:v>2.1040513052868053</c:v>
                </c:pt>
                <c:pt idx="30">
                  <c:v>0.43420761487781934</c:v>
                </c:pt>
                <c:pt idx="31">
                  <c:v>2.6518994245559968</c:v>
                </c:pt>
                <c:pt idx="32">
                  <c:v>2.4196732994260928</c:v>
                </c:pt>
                <c:pt idx="33">
                  <c:v>2.0720098993317082</c:v>
                </c:pt>
                <c:pt idx="34">
                  <c:v>1.9467350203041198</c:v>
                </c:pt>
                <c:pt idx="35">
                  <c:v>0.1516997540541371</c:v>
                </c:pt>
                <c:pt idx="36">
                  <c:v>-4.4321423262626516E-2</c:v>
                </c:pt>
                <c:pt idx="37">
                  <c:v>1.9924197442036244</c:v>
                </c:pt>
                <c:pt idx="38">
                  <c:v>1.4615833679551953</c:v>
                </c:pt>
                <c:pt idx="39">
                  <c:v>1.8423734306664454</c:v>
                </c:pt>
                <c:pt idx="40">
                  <c:v>1.5495380927565499</c:v>
                </c:pt>
                <c:pt idx="41">
                  <c:v>2.7461826637884457</c:v>
                </c:pt>
                <c:pt idx="42">
                  <c:v>1.6734982378685381</c:v>
                </c:pt>
                <c:pt idx="43">
                  <c:v>2.1767550935826021</c:v>
                </c:pt>
                <c:pt idx="44">
                  <c:v>0.9221235897401483</c:v>
                </c:pt>
                <c:pt idx="45">
                  <c:v>1.3548390407530491</c:v>
                </c:pt>
                <c:pt idx="46">
                  <c:v>1.7698862356276062</c:v>
                </c:pt>
                <c:pt idx="47">
                  <c:v>0.78966007736569455</c:v>
                </c:pt>
                <c:pt idx="48">
                  <c:v>-0.81591374113328152</c:v>
                </c:pt>
                <c:pt idx="49">
                  <c:v>-0.15619700462512237</c:v>
                </c:pt>
                <c:pt idx="50">
                  <c:v>0.84971362903066927</c:v>
                </c:pt>
                <c:pt idx="51">
                  <c:v>1.55627625132429</c:v>
                </c:pt>
                <c:pt idx="52">
                  <c:v>6.9710887353716416E-2</c:v>
                </c:pt>
                <c:pt idx="53">
                  <c:v>-0.689249022703185</c:v>
                </c:pt>
                <c:pt idx="54">
                  <c:v>-0.17208551279584716</c:v>
                </c:pt>
                <c:pt idx="55">
                  <c:v>-1.3737350729358553</c:v>
                </c:pt>
                <c:pt idx="56">
                  <c:v>-0.20845510909858894</c:v>
                </c:pt>
                <c:pt idx="57">
                  <c:v>-1.5494894247043023</c:v>
                </c:pt>
                <c:pt idx="58">
                  <c:v>-1.5402377906425293</c:v>
                </c:pt>
                <c:pt idx="59">
                  <c:v>-5.8160511989105634</c:v>
                </c:pt>
                <c:pt idx="60">
                  <c:v>-0.74044932046244583</c:v>
                </c:pt>
                <c:pt idx="61">
                  <c:v>-1.1468213003834273</c:v>
                </c:pt>
                <c:pt idx="62">
                  <c:v>4.1598350578046131E-2</c:v>
                </c:pt>
                <c:pt idx="63">
                  <c:v>-0.15928636364244933</c:v>
                </c:pt>
                <c:pt idx="64">
                  <c:v>-1.0147455504863458</c:v>
                </c:pt>
                <c:pt idx="65">
                  <c:v>-0.35510365182273262</c:v>
                </c:pt>
                <c:pt idx="66">
                  <c:v>-0.22690373064940847</c:v>
                </c:pt>
                <c:pt idx="67">
                  <c:v>-5.798995815943337E-2</c:v>
                </c:pt>
                <c:pt idx="68">
                  <c:v>-1.1734088534012588</c:v>
                </c:pt>
                <c:pt idx="69">
                  <c:v>-1.441033754395596</c:v>
                </c:pt>
                <c:pt idx="70">
                  <c:v>-1.5903111039999509</c:v>
                </c:pt>
                <c:pt idx="71">
                  <c:v>-1.4788383028064485</c:v>
                </c:pt>
                <c:pt idx="72">
                  <c:v>-1.5432219129708005</c:v>
                </c:pt>
                <c:pt idx="73">
                  <c:v>-1.7366382696066478</c:v>
                </c:pt>
                <c:pt idx="74">
                  <c:v>-1.4439373789600083</c:v>
                </c:pt>
                <c:pt idx="75">
                  <c:v>-1.5850501713678793</c:v>
                </c:pt>
                <c:pt idx="76">
                  <c:v>-1.6052629227800157</c:v>
                </c:pt>
                <c:pt idx="77">
                  <c:v>-1.5515322189195002</c:v>
                </c:pt>
                <c:pt idx="78">
                  <c:v>-1.6816479834880524</c:v>
                </c:pt>
                <c:pt idx="79">
                  <c:v>-1.6359987031805925</c:v>
                </c:pt>
                <c:pt idx="80">
                  <c:v>-1.6886088409921542</c:v>
                </c:pt>
                <c:pt idx="81">
                  <c:v>-1.4234244190635419</c:v>
                </c:pt>
                <c:pt idx="82">
                  <c:v>-1.4131731430312733</c:v>
                </c:pt>
                <c:pt idx="83">
                  <c:v>-3.551499893334185</c:v>
                </c:pt>
                <c:pt idx="84">
                  <c:v>-1.8044447091168114</c:v>
                </c:pt>
                <c:pt idx="85">
                  <c:v>-2.0939061850961922</c:v>
                </c:pt>
                <c:pt idx="86">
                  <c:v>-3.2904780610190567</c:v>
                </c:pt>
                <c:pt idx="87">
                  <c:v>-2.1028173751790296</c:v>
                </c:pt>
                <c:pt idx="88">
                  <c:v>-1.3314989732711684</c:v>
                </c:pt>
                <c:pt idx="89">
                  <c:v>-1.4482076001164463</c:v>
                </c:pt>
                <c:pt idx="90">
                  <c:v>-2.3983312404686319</c:v>
                </c:pt>
                <c:pt idx="91">
                  <c:v>-2.2307544084699145</c:v>
                </c:pt>
                <c:pt idx="92">
                  <c:v>-2.2116236355309158</c:v>
                </c:pt>
                <c:pt idx="93">
                  <c:v>-2.4675485962730588</c:v>
                </c:pt>
                <c:pt idx="94">
                  <c:v>-1.7102928070770618</c:v>
                </c:pt>
                <c:pt idx="95">
                  <c:v>-2.1746400160910193</c:v>
                </c:pt>
                <c:pt idx="96">
                  <c:v>-1.6825742794333165</c:v>
                </c:pt>
                <c:pt idx="97">
                  <c:v>-2.011627374464076</c:v>
                </c:pt>
                <c:pt idx="98">
                  <c:v>-2.0886316387618096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500-4422-AC6E-2A56FCA89B9E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4.0424277629776411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11.304022354605497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C-F500-4422-AC6E-2A56FCA89B9E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8.2804797023745174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4.6681985330133582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D-F500-4422-AC6E-2A56FCA89B9E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0.40564311473884962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13.181038027634257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E-F500-4422-AC6E-2A56FCA89B9E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4.6147574774866902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-6.0001076852135489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F-F500-4422-AC6E-2A56FCA89B9E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3.4004130382262048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-5.3625331817229087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0-F500-4422-AC6E-2A56FCA89B9E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-1.4023424683928822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-3.869716193770925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1-F500-4422-AC6E-2A56FCA89B9E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2.3330751094261668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10.983906524128967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2-F500-4422-AC6E-2A56FCA89B9E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8.0205235334520459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-4.0757282938571029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3-F500-4422-AC6E-2A56FCA89B9E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8.77975503747445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5.3371991089989825E-3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4-F500-4422-AC6E-2A56FCA89B9E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4.7295141533210572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-6.6257385644114306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5-F500-4422-AC6E-2A56FCA89B9E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-1.8733127184478173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8.5984616257777589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6-F500-4422-AC6E-2A56FCA89B9E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6.5385793093642572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0.28863366840348703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7-F500-4422-AC6E-2A56FCA89B9E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4.8401185389216508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-5.3916001445134771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8-F500-4422-AC6E-2A56FCA89B9E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8.6836455497814065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-2.8599852219171407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9-F500-4422-AC6E-2A56FCA89B9E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7.5947245601956705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-6.5253423598872837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A-F500-4422-AC6E-2A56FCA89B9E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8.1279567692279198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4.2265622174249131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B-F500-4422-AC6E-2A56FCA89B9E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3.4547204351077641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-5.203211617866077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C-F500-4422-AC6E-2A56FCA89B9E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4.4023672297728806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5.0921614789822218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D-F500-4422-AC6E-2A56FCA89B9E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8.855428159910355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-3.695157868263609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E-F500-4422-AC6E-2A56FCA89B9E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4.9752689474143436E-2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-0.38458850153537455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8F-F500-4422-AC6E-2A56FCA89B9E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8.5437284604588974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3.2015084271958352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0-F500-4422-AC6E-2A56FCA89B9E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7.9435281089131466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4.1609867713480941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1-F500-4422-AC6E-2A56FCA89B9E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8.2025948338189973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4.5598532499255926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2-F500-4422-AC6E-2A56FCA89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13712"/>
        <c:axId val="523201232"/>
      </c:scatterChart>
      <c:valAx>
        <c:axId val="52321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F1 (40.48 %)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23201232"/>
        <c:crosses val="autoZero"/>
        <c:crossBetween val="midCat"/>
      </c:valAx>
      <c:valAx>
        <c:axId val="523201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F2 (16.84 %)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232137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IN"/>
              <a:t>Axes homogeneity index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PCA!$B$516:$B$520</c:f>
              <c:strCache>
                <c:ptCount val="5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</c:strCache>
            </c:strRef>
          </c:cat>
          <c:val>
            <c:numRef>
              <c:f>PCA!$C$516:$C$520</c:f>
              <c:numCache>
                <c:formatCode>0.000</c:formatCode>
                <c:ptCount val="5"/>
                <c:pt idx="0">
                  <c:v>0.1111111111111111</c:v>
                </c:pt>
                <c:pt idx="1">
                  <c:v>0.29292929292929298</c:v>
                </c:pt>
                <c:pt idx="2">
                  <c:v>0.13131313131313133</c:v>
                </c:pt>
                <c:pt idx="3">
                  <c:v>9.0909090909090925E-2</c:v>
                </c:pt>
                <c:pt idx="4">
                  <c:v>0.22222222222222224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C-4383-9DC4-509EC4B4A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29429104"/>
        <c:axId val="829438224"/>
      </c:barChart>
      <c:catAx>
        <c:axId val="829429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axis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829438224"/>
        <c:crosses val="autoZero"/>
        <c:auto val="1"/>
        <c:lblAlgn val="ctr"/>
        <c:lblOffset val="100"/>
        <c:noMultiLvlLbl val="0"/>
      </c:catAx>
      <c:valAx>
        <c:axId val="8294382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2942910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noThreeD="1" sel="1" val="0">
  <itemLst>
    <item val="Summary statistics"/>
    <item val="Principal Component Analysis"/>
    <item val="Eigenvalues"/>
    <item val="Eigenvectors"/>
    <item val="Factor loadings"/>
    <item val="Correlations between variables and factors"/>
    <item val="Contribution of the variables (%)"/>
    <item val="Squared cosines of the variables"/>
    <item val="Factor scores"/>
    <item val="Contribution of the observations (%)"/>
    <item val="Axes homogeneity index"/>
    <item val="Squared cosines of the observations"/>
  </itemLst>
</formControlPr>
</file>

<file path=xl/ctrlProps/ctrlProp2.xml><?xml version="1.0" encoding="utf-8"?>
<formControlPr xmlns="http://schemas.microsoft.com/office/spreadsheetml/2009/9/main" objectType="Drop" dropStyle="combo" dx="26" noThreeD="1" sel="3" val="0">
  <itemLst>
    <item val="Summary statistics"/>
    <item val="Correlation matrix (Pearson (n))"/>
    <item val="Principal Component Analysis"/>
    <item val="Eigenvalues"/>
    <item val="Eigenvectors"/>
    <item val="Factor loadings"/>
    <item val="Correlations between variables and factors"/>
    <item val="Contribution of the variables (%)"/>
    <item val="Squared cosines of the variables"/>
    <item val="Factor scores"/>
    <item val="Contribution of the observations (%)"/>
    <item val="Axes homogeneity index"/>
    <item val="Squared cosines of the observations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chart" Target="../charts/chart7.xml"/><Relationship Id="rId12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image" Target="../media/image5.png"/><Relationship Id="rId10" Type="http://schemas.openxmlformats.org/officeDocument/2006/relationships/chart" Target="../charts/chart8.xml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109728</xdr:colOff>
      <xdr:row>0</xdr:row>
      <xdr:rowOff>36576</xdr:rowOff>
    </xdr:from>
    <xdr:to>
      <xdr:col>12</xdr:col>
      <xdr:colOff>597408</xdr:colOff>
      <xdr:row>1</xdr:row>
      <xdr:rowOff>146304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CD1C825F-359A-DE01-9478-CF826E618530}"/>
            </a:ext>
          </a:extLst>
        </xdr:cNvPr>
        <xdr:cNvSpPr txBox="1"/>
      </xdr:nvSpPr>
      <xdr:spPr>
        <a:xfrm>
          <a:off x="6533388" y="36576"/>
          <a:ext cx="1097280" cy="292608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IN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3" name="TX941681" hidden="1">
          <a:extLst>
            <a:ext uri="{FF2B5EF4-FFF2-40B4-BE49-F238E27FC236}">
              <a16:creationId xmlns:a16="http://schemas.microsoft.com/office/drawing/2014/main" id="{EF3245A4-1695-EF88-04ED-39BA1EDBB2A6}"/>
            </a:ext>
          </a:extLst>
        </xdr:cNvPr>
        <xdr:cNvSpPr txBox="1"/>
      </xdr:nvSpPr>
      <xdr:spPr>
        <a:xfrm>
          <a:off x="949960" y="164592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RunProcPCA
Form22.txt
CheckBoxTrans,CheckBox,0,False,03,False,Trans,False,,,
TextBoxList,TextBox,,False,04,False,,False,,,
RefEditT,RefEdit0,'Sheet1'!$E$1:$AA$100,True,000000000100_General,True,,False,,100,23
RefEdit_W,RefEdit0,,True,000000000601_General,True,Weights:,False,,,
CheckBox_W,CheckBox,0,True,000000000501_General,True,Weights,False,,,
CheckBox_ObsLabels,CheckBox,-1,True,000000000301_General,True,Observation labels,False,,,
RefEdit_ObsLabels,RefEdit0,'Sheet1'!$C$1:$C$100,True,000000000401_General,True,Observation labels:,False,,100,1
OptionButtonOV,OptionButton,-1,True,000000010500_General,True,Observations/variables table,False,,,
OptionButtonCorr,OptionButton,0,True,000000020500_General,True,Correlation matrix,False,,,
OptionButtonCov,OptionButton,0,True,000000030500_General,True,Covariance matrix,False,,,
ComboBoxType,ComboBox,0,True,000000000700_General,True,Select the type of PCA to perform,False,,,
CheckBox_Desc,CheckBox,-1,True,400000000000_Outputs,True,Descriptive statistics,False,,,
CheckBox_Corr,CheckBox,0,True,400000000100_Outputs,True,Correlations,False,,,
CheckBoxSig,CheckBox,0,True,400000000200_Outputs,True,Test significance,False,,,
TextBox_conf,TextBox,5,True,400000010300_Outputs,True,Significance level (%):,False,,,
CheckBoxBartlett,CheckBox,0,True,400000000400_Outputs,True,Bartlett's sphericity test,False,,,
CheckBoxKMO,CheckBox,0,True,400000000500_Outputs,True,Kaiser-Meyer-Olkin,False,,,
CheckBox_RankedMat,CheckBox,0,False,400000000600_Outputs,False,Ranks matrix,False,,,
CheckBoxLoadings,CheckBox,-1,True,400000000101_Outputs,True,Factor loadings,False,,,
CheckBoxScores,CheckBox,-1,True,400000000301_Outputs,True,Factor scores,False,,,
CheckBoxCorrFactVar,CheckBox,-1,True,400000000201_Outputs,True,Variables/Factors correlations,False,,,
CheckBoxEigen,CheckBox,-1,True,400000000001_Outputs,True,Eigenvalues,False,,,
CheckBoxContrib,CheckBox,-1,True,400000000401_Outputs,True,Contributions,False,,,
CheckBoxCos,CheckBox,-1,True,400000000501_Outputs,True,Squared cosines,False,,,
CheckBoxSuppObs,CheckBox,0,True,200000000000_Supplementary data,True,Supplementary observations,False,,,
RefEdit_SuppObs,RefEdit0,,True,200000000100_Supplementary data,True,,False,,,
CheckBox_VarLabelsSuppObs,CheckBox,0,True,200000000200_Supplementary data,True,Var. labels for supp. obs,False,,,
CheckBox_ObsLabelsSuppObs,CheckBox,0,True,200000000300_Supplementary data,True,Supp. obs labels,False,,,
RefEdit_ObsSuppLabels,RefEdit0,,True,200000000400_Supplementary data,True,,False,,,
CheckBoxSuppVar,CheckBox,0,True,200000000001_Supplementary data,True,Supplementary variables,False,,,
RefEdit_Q,RefEdit0,,True,200000000401_Supplementary data,True,Qualitative:,False,,,
CheckBox_Q,CheckBox,0,True,200000000301_Supplementary data,True,Qualitative,False,,,
RefEdit_X,RefEdit0,,True,200000000201_Supplementary data,True,Quantitative:,False,,,
CheckBox_X,CheckBox,0,True,200000000101_Supplementary data,True,Quantitative,False,,,
CheckBoxCentroids,CheckBox,0,True,200000000501_Supplementary data,True,Display centroids,False,,,
OptionButton_MVRemove,OptionButton,0,True,300000000100_Data options,True,Remove the observations,False,,,
OptionButton_MVRefuse,OptionButton,-1,True,300000000000_Data options,True,Do not accept missing data,False,,,
OptionButton_MeanMode,OptionButton,-1,True,300000000400_Data options,True,Mean or mode,False,,,
OptionButton_NN,OptionButton,0,True,300000010400_Data options,True,Nearest neighbor,False,,,
OptionButton_MVEstimate,OptionButton,0,True,300000000300_Data options,True,Estimate missing data,False,,,
OptionButton_MVPair,OptionButton,0,True,300000000200_Data options,True,Pairwise deletion,False,,,
OptionButton_MVReplace0,OptionButton,0,False,300000000500_Data options,False,Replace missing data by 0,False,,,
RefEditGroups,RefEdit0,,True,300000000101_Data options,True,,False,,,
CheckBoxByGroup,CheckBox,0,True,300000000001_Data options,True,By group analysis,False,,,
OptionButton_ByGroups,OptionButton,-1,True,300000000301_Data options,True,One PCA per group,False,,,
OptionButton_ByGroupsSelected,OptionButton,0,True,300000010301_Data options,True,One PCA per selected group,False,,,
OptionButton_GroupsMerged,OptionButton,0,True,300000020301_Data options,True,One PCA on merged groups,False,,,
CheckBoxIndCharts,CheckBox,-1,True,510000000000_Charts|Observations,True,Observations charts,False,,,
CheckBoxLabelsInd,CheckBox,-1,True,510000000100_Charts|Observations,True,Labels,False,,,
CheckBoxColorsLabelObs,CheckBox,0,True,510000000200_Charts|Observations,True,Colored labels,False,,,
CheckBoxSizeObs,CheckBox,0,True,510000000300_Charts|Observations,True,Resize points with Cos2,False,,,
CheckBoxColorObsGroup,CheckBox,0,True,510000000400_Charts|Observations,True,Color by group,False,,,
RefEditColorObsGroup,RefEdit0,,True,510000000500_Charts|Observations,True,Color by group,False,,,
CheckBoxEllipseGroup,CheckBox,0,True,510000000600_Charts|Observations,True,Confidence ellipses,False,,,
TextBox_Conf_Ellipse,TextBox,95,True,510000010700_Charts|Observations,True,,False,,,
RefEditGroupFilter,RefEdit0,,True,510000000501_Charts|Observations,True,Group variable:,False,,,
TextBoxPoints,TextBox,0.5,True,510000000301_Charts|Observations,True,Sum(Cos2)&gt;,False,,,
ComboBoxFilter,ComboBox,4,True,510000000101_Charts|Observations,True,Select the filtering option,False,,,
CheckBoxChartsFilter,CheckBox,0,True,510000000001_Charts|Observations,True,Filter,False,,,
CheckBoxVectors,CheckBox,-1,True,500000000000_Charts|Variables,True,Vectors,False,,,
CheckBoxCorrCharts,CheckBox,-1,True,500000000100_Charts|Variables,True,Correlation charts,False,,,
CheckBoxColorsVar,CheckBox,0,True,500000000200_Charts|Variables,True,Colored labels,False,,,
CheckBoxColorVarGroup,CheckBox,0,True,500000000300_Charts|Variables,True,Color by group,False,,,
RefEditColorVarGroup,RefEdit,,True,500000000400_Charts|Variables,True,Color by group,False,,,
CheckBoxSizeVar,CheckBox,0,True,500000000500_Charts|Variables,True,Resize points with Cos2,False,,,
CheckBoxLabelAngle,CheckBox,0,True,500000000600_Charts|Variables,True,Orientate labels,False,,,
RefEditGroupFilterVar,RefEdit,,True,500000000501_Charts|Variables,True,Group variable:,False,,,
TextBoxPointsVar,TextBox,0.5,True,500000000301_Charts|Variables,True,Sum(Cos2)&gt;,False,,,
ComboBoxFilterVar,ComboBox,4,True,500000000101_Charts|Variables,True,Select the filtering option,False,,,
CheckBoxChartsFilterVar,CheckBox,0,True,500000000001_Charts|Variables,True,Filter,False,,,
CheckBoxBiplotVectorsVar,CheckBox,-1,True,520000000200_Charts|Biplots,True,Vectors,False,,,
CheckBoxBiplotLabelsVar,CheckBox,-1,True,520000000300_Charts|Biplots,True,Labels,False,,,
CheckBoxBiplots,CheckBox,-1,True,520000000000_Charts|Biplots,True,Biplots,False,,,
CheckBoxBiplotLabelsObs,CheckBox,-1,True,520000000500_Charts|Biplots,True,Labels,False,,,
CheckBoxBiplotSuppObsVar,CheckBox,-1,True,520000000700_Charts|Biplots,True,Supp. Obs/Var,False,,,
CheckBoxBiplotFilterObsVar,CheckBox,-1,True,520000000800_Charts|Biplots,True,Filter Obs/Var,False,,,
ComboBoxBiplot,ComboBox,1,True,520000000101_Charts|Biplots,True,Select the type of biplot,False,,,
ComboBoxScale,ComboBox,3,True,520000000301_Charts|Biplots,True,Coefficient:,False,,,
TextBoxScale,TextBox,1,False,520000000401_Charts|Biplots,False,Coefficient:,False,,,
OptionButtonEllipseBoot,OptionButton,0,True,530000020000_Charts|Bootstrap charts,True,Confidence ellipses,False,,,
OptionButtonConvexHullBoot,OptionButton,-1,True,530000010000_Charts|Bootstrap charts,True,Convex hulls,False,,,
CheckBoxBootChart,CheckBox,0,True,530000000100_Charts|Bootstrap charts,True,Bootstrap observations chart,False,,,
TextBoxNbSampleBoot,TextBox,50,True,530000010200_Charts|Bootstrap charts,True,Number of samples:,False,,,
CheckBoxColorObsBoot,CheckBox,0,True,530000000300_Charts|Bootstrap charts,True,Color observations,False,,,
CheckBoxChartsFilterBoot,CheckBox,0,True,530000000400_Charts|Bootstrap charts,True,Filter observations,False,,,
ComboBoxRotation,ComboBox,0,True,100000000401_Options,True,Select the type of rotation,False,,,
CheckBoxRotation,CheckBox,0,True,100000000001_Options,True,Rotation,False,,,
TextBoxGammTau,TextBox,0,False,100000000701_Options,False,,False,,,
CheckBoxKaiser,CheckBox,0,True,100000000501_Options,True,Kaiser normalization,False,,,
TextBoxNbFact,TextBox,2,True,100000000201_Options,True,Number of factors:,False,,,
FileSelect1,CommandButton,,False,000000000400_General,False,,False,,,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FileSelect2,CommandButton,,False,200000000500_Supplementary data,False,,False,,,
ScrollBarSelect,ScrollBar,0,False,05,False,,,,,
CheckBoxMaxFilter,CheckBox,-1,True,100000030000_Options,True,Maximum number,False,,,
TextBoxCompMax,TextBox,5,True,100000040000_Options,True,,False,,,
CheckBoxMinFilter,CheckBox,0,True,100000010000_Options,True,Minimum %,False,,,
TextBoxMinPerc,TextBox,80,True,100000020000_Options,True,,False,,,
OptionButton_Std_n1,OptionButton,0,True,100000020100_Options,True,n-1,False,,,
OptionButton_Std_n,OptionButton,-1,True,100000010100_Options,True,n,False,,,
CheckBoxBiplotColorGroupObsVar,CheckBox,-1,True,520000000900_Charts|Biplots,True,Color Obs/Var,False,,,
CheckBoxDisplay2Axes,CheckBox,0,True,100000040100_Options,True,Display charts on the first two axes,False,,,
SpinButtonCompMax,SpinButton,5,True,100000050000_Options,False,,,,,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4</xdr:col>
      <xdr:colOff>6350</xdr:colOff>
      <xdr:row>9</xdr:row>
      <xdr:rowOff>470535</xdr:rowOff>
    </xdr:to>
    <xdr:sp macro="" textlink="">
      <xdr:nvSpPr>
        <xdr:cNvPr id="4" name="BK941681">
          <a:extLst>
            <a:ext uri="{FF2B5EF4-FFF2-40B4-BE49-F238E27FC236}">
              <a16:creationId xmlns:a16="http://schemas.microsoft.com/office/drawing/2014/main" id="{2366362E-8A6D-F37A-B16B-A5414367C7F3}"/>
            </a:ext>
          </a:extLst>
        </xdr:cNvPr>
        <xdr:cNvSpPr/>
      </xdr:nvSpPr>
      <xdr:spPr>
        <a:xfrm>
          <a:off x="334010" y="165227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66040</xdr:colOff>
      <xdr:row>9</xdr:row>
      <xdr:rowOff>53975</xdr:rowOff>
    </xdr:from>
    <xdr:to>
      <xdr:col>1</xdr:col>
      <xdr:colOff>427990</xdr:colOff>
      <xdr:row>9</xdr:row>
      <xdr:rowOff>415925</xdr:rowOff>
    </xdr:to>
    <xdr:pic macro="[0]!ReRunXLSTAT">
      <xdr:nvPicPr>
        <xdr:cNvPr id="5" name="BT941681">
          <a:extLst>
            <a:ext uri="{FF2B5EF4-FFF2-40B4-BE49-F238E27FC236}">
              <a16:creationId xmlns:a16="http://schemas.microsoft.com/office/drawing/2014/main" id="{FC8234FF-4813-D503-38F7-6F5A32DD5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9</xdr:row>
      <xdr:rowOff>53975</xdr:rowOff>
    </xdr:from>
    <xdr:to>
      <xdr:col>2</xdr:col>
      <xdr:colOff>267970</xdr:colOff>
      <xdr:row>9</xdr:row>
      <xdr:rowOff>415925</xdr:rowOff>
    </xdr:to>
    <xdr:pic macro="[0]!AddRemovGrid">
      <xdr:nvPicPr>
        <xdr:cNvPr id="6" name="RM941681">
          <a:extLst>
            <a:ext uri="{FF2B5EF4-FFF2-40B4-BE49-F238E27FC236}">
              <a16:creationId xmlns:a16="http://schemas.microsoft.com/office/drawing/2014/main" id="{514D62A1-38EB-3225-4D5D-C3972358D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9</xdr:row>
      <xdr:rowOff>53975</xdr:rowOff>
    </xdr:from>
    <xdr:to>
      <xdr:col>2</xdr:col>
      <xdr:colOff>267970</xdr:colOff>
      <xdr:row>9</xdr:row>
      <xdr:rowOff>415925</xdr:rowOff>
    </xdr:to>
    <xdr:pic macro="[0]!AddRemovGrid">
      <xdr:nvPicPr>
        <xdr:cNvPr id="7" name="AD941681" hidden="1">
          <a:extLst>
            <a:ext uri="{FF2B5EF4-FFF2-40B4-BE49-F238E27FC236}">
              <a16:creationId xmlns:a16="http://schemas.microsoft.com/office/drawing/2014/main" id="{C5E9E652-5F2D-3D12-5FB5-CB8008686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9</xdr:row>
      <xdr:rowOff>53975</xdr:rowOff>
    </xdr:from>
    <xdr:to>
      <xdr:col>3</xdr:col>
      <xdr:colOff>107950</xdr:colOff>
      <xdr:row>9</xdr:row>
      <xdr:rowOff>415925</xdr:rowOff>
    </xdr:to>
    <xdr:pic macro="[0]!SendToOfficeLocal">
      <xdr:nvPicPr>
        <xdr:cNvPr id="8" name="WD941681">
          <a:extLst>
            <a:ext uri="{FF2B5EF4-FFF2-40B4-BE49-F238E27FC236}">
              <a16:creationId xmlns:a16="http://schemas.microsoft.com/office/drawing/2014/main" id="{06823F9B-F444-A113-4B0A-EC06F032A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9</xdr:row>
      <xdr:rowOff>53975</xdr:rowOff>
    </xdr:from>
    <xdr:to>
      <xdr:col>3</xdr:col>
      <xdr:colOff>557530</xdr:colOff>
      <xdr:row>9</xdr:row>
      <xdr:rowOff>415925</xdr:rowOff>
    </xdr:to>
    <xdr:pic macro="[0]!SendToOfficeLocal">
      <xdr:nvPicPr>
        <xdr:cNvPr id="9" name="PT941681">
          <a:extLst>
            <a:ext uri="{FF2B5EF4-FFF2-40B4-BE49-F238E27FC236}">
              <a16:creationId xmlns:a16="http://schemas.microsoft.com/office/drawing/2014/main" id="{4E7ABAAE-2739-8CBA-8618-E2F99F2F7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169989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51</xdr:row>
      <xdr:rowOff>0</xdr:rowOff>
    </xdr:from>
    <xdr:to>
      <xdr:col>7</xdr:col>
      <xdr:colOff>0</xdr:colOff>
      <xdr:row>69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2E46CFF-0861-D15B-9ED4-536963B0F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155</xdr:row>
      <xdr:rowOff>1</xdr:rowOff>
    </xdr:from>
    <xdr:to>
      <xdr:col>5</xdr:col>
      <xdr:colOff>459740</xdr:colOff>
      <xdr:row>173</xdr:row>
      <xdr:rowOff>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208F05B-96A9-B600-9828-AD0B35A3E2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6350</xdr:colOff>
      <xdr:row>234</xdr:row>
      <xdr:rowOff>22859</xdr:rowOff>
    </xdr:from>
    <xdr:to>
      <xdr:col>1</xdr:col>
      <xdr:colOff>170180</xdr:colOff>
      <xdr:row>235</xdr:row>
      <xdr:rowOff>3809</xdr:rowOff>
    </xdr:to>
    <xdr:pic macro="[1]!RunArrowDown">
      <xdr:nvPicPr>
        <xdr:cNvPr id="12" name="ArrDwn_5334">
          <a:extLst>
            <a:ext uri="{FF2B5EF4-FFF2-40B4-BE49-F238E27FC236}">
              <a16:creationId xmlns:a16="http://schemas.microsoft.com/office/drawing/2014/main" id="{BC78DF18-DCCB-07DB-89E2-CB72E419C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4010" y="43411139"/>
          <a:ext cx="163830" cy="163830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335</xdr:row>
      <xdr:rowOff>182878</xdr:rowOff>
    </xdr:from>
    <xdr:to>
      <xdr:col>1</xdr:col>
      <xdr:colOff>38100</xdr:colOff>
      <xdr:row>336</xdr:row>
      <xdr:rowOff>25398</xdr:rowOff>
    </xdr:to>
    <xdr:sp macro="" textlink="">
      <xdr:nvSpPr>
        <xdr:cNvPr id="13" name="TX334539" hidden="1">
          <a:extLst>
            <a:ext uri="{FF2B5EF4-FFF2-40B4-BE49-F238E27FC236}">
              <a16:creationId xmlns:a16="http://schemas.microsoft.com/office/drawing/2014/main" id="{3BEF9AC0-57F8-3CF5-4F13-BF67E2164989}"/>
            </a:ext>
          </a:extLst>
        </xdr:cNvPr>
        <xdr:cNvSpPr txBox="1"/>
      </xdr:nvSpPr>
      <xdr:spPr>
        <a:xfrm>
          <a:off x="340360" y="62049658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RunProcHAC
Form17.txt
RefEditT,RefEdit0,'XLSTAT_20240405_134419_1'!$C$235:$G$334,,,,,,
RefEdit_ObsLabels,RefEdit0,'XLSTAT_20240405_134419_1'!$B$235:$B$334,,,,,,
CheckBoxVarLabels,CheckBox,True,,,,,,
CheckBox_ObsLabels,CheckBox,True,,,,,,
</a:t>
          </a:r>
        </a:p>
      </xdr:txBody>
    </xdr:sp>
    <xdr:clientData/>
  </xdr:twoCellAnchor>
  <xdr:twoCellAnchor editAs="oneCell">
    <xdr:from>
      <xdr:col>1</xdr:col>
      <xdr:colOff>25400</xdr:colOff>
      <xdr:row>335</xdr:row>
      <xdr:rowOff>25399</xdr:rowOff>
    </xdr:from>
    <xdr:to>
      <xdr:col>1</xdr:col>
      <xdr:colOff>340360</xdr:colOff>
      <xdr:row>336</xdr:row>
      <xdr:rowOff>157479</xdr:rowOff>
    </xdr:to>
    <xdr:pic macro="[0]!ReRunXLSTAT">
      <xdr:nvPicPr>
        <xdr:cNvPr id="14" name="BT334539">
          <a:extLst>
            <a:ext uri="{FF2B5EF4-FFF2-40B4-BE49-F238E27FC236}">
              <a16:creationId xmlns:a16="http://schemas.microsoft.com/office/drawing/2014/main" id="{64FFAD35-CB9D-4605-8FEE-13F3F9C877F7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" y="61892179"/>
          <a:ext cx="314960" cy="31496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rgbClr val="ED753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5400000" rotWithShape="0">
            <a:srgbClr val="000000">
              <a:alpha val="40000"/>
            </a:srgbClr>
          </a:outerShdw>
        </a:effectLst>
      </xdr:spPr>
    </xdr:pic>
    <xdr:clientData fPrintsWithSheet="0"/>
  </xdr:twoCellAnchor>
  <xdr:twoCellAnchor>
    <xdr:from>
      <xdr:col>1</xdr:col>
      <xdr:colOff>0</xdr:colOff>
      <xdr:row>339</xdr:row>
      <xdr:rowOff>0</xdr:rowOff>
    </xdr:from>
    <xdr:to>
      <xdr:col>7</xdr:col>
      <xdr:colOff>0</xdr:colOff>
      <xdr:row>357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62FC293-D9D8-433C-BEBE-5624EEE68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359</xdr:row>
      <xdr:rowOff>0</xdr:rowOff>
    </xdr:from>
    <xdr:to>
      <xdr:col>7</xdr:col>
      <xdr:colOff>0</xdr:colOff>
      <xdr:row>377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212528A-633F-992E-80DF-8D2482315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493</xdr:row>
      <xdr:rowOff>0</xdr:rowOff>
    </xdr:from>
    <xdr:to>
      <xdr:col>7</xdr:col>
      <xdr:colOff>0</xdr:colOff>
      <xdr:row>511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41FC9EB-786F-1227-2EBC-7F4420EAE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314960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8" name="XP941681" hidden="1">
          <a:extLst>
            <a:ext uri="{FF2B5EF4-FFF2-40B4-BE49-F238E27FC236}">
              <a16:creationId xmlns:a16="http://schemas.microsoft.com/office/drawing/2014/main" id="{0AF20126-1F8E-3F24-65B7-C9068ED04C3B}"/>
            </a:ext>
          </a:extLst>
        </xdr:cNvPr>
        <xdr:cNvSpPr txBox="1"/>
      </xdr:nvSpPr>
      <xdr:spPr>
        <a:xfrm>
          <a:off x="31496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PCA1*SEP*Summary statistics*SEP*$B$14
PCA1*SEP*Principal Component Analysis*SEP*$B$42
PCA1*SEP*Eigenvalues*SEP*$B$44
PCA1*SEP*Eigenvectors*SEP*$B$72
PCA1*SEP*Factor loadings*SEP*$B$100
PCA1*SEP*Correlations between variables and factors*SEP*$B$128
PCA1*SEP*Contribution of the variables (%)*SEP*$B$176
PCA1*SEP*Squared cosines of the variables*SEP*$B$204
PCA1*SEP*Factor scores*SEP*$B$233
PCA1*SEP*Contribution of the observations (%)*SEP*$B$380
PCA1*SEP*Axes homogeneity index*SEP*$B$484
PCA1*SEP*Squared cosines of the observations*SEP*$B$514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472440</xdr:rowOff>
        </xdr:from>
        <xdr:to>
          <xdr:col>5</xdr:col>
          <xdr:colOff>0</xdr:colOff>
          <xdr:row>10</xdr:row>
          <xdr:rowOff>198120</xdr:rowOff>
        </xdr:to>
        <xdr:sp macro="" textlink="">
          <xdr:nvSpPr>
            <xdr:cNvPr id="3073" name="DD220842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E8E1D50-97D5-482C-F366-F2F6A76B8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109728</xdr:colOff>
      <xdr:row>0</xdr:row>
      <xdr:rowOff>36576</xdr:rowOff>
    </xdr:from>
    <xdr:to>
      <xdr:col>12</xdr:col>
      <xdr:colOff>597408</xdr:colOff>
      <xdr:row>1</xdr:row>
      <xdr:rowOff>146304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533388" y="36576"/>
          <a:ext cx="1097280" cy="292608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IN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3" name="TX677474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49960" y="164592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RunProcPCA
Form22.txt
CheckBoxTrans,CheckBox,0,False,03,False,Trans,False,,,
TextBoxList,TextBox,,False,04,False,,False,,,
RefEditT,RefEdit0,'Sheet1'!$E$1:$AA$100,True,000000000100_General,True,,False,,100,23
RefEdit_W,RefEdit0,,True,000000000601_General,True,Weights:,False,,,
CheckBox_W,CheckBox,0,True,000000000501_General,True,Weights,False,,,
CheckBox_ObsLabels,CheckBox,-1,True,000000000301_General,True,Observation labels,False,,,
RefEdit_ObsLabels,RefEdit0,'Sheet1'!$D$1:$D$100,True,000000000401_General,True,Observation labels:,False,,100,1
OptionButtonOV,OptionButton,-1,True,000000010500_General,True,Observations/variables table,False,,,
OptionButtonCorr,OptionButton,0,True,000000020500_General,True,Correlation matrix,False,,,
OptionButtonCov,OptionButton,0,True,000000030500_General,True,Covariance matrix,False,,,
ComboBoxType,ComboBox,0,True,000000000700_General,True,Select the type of PCA to perform,False,,,
CheckBox_Desc,CheckBox,-1,True,400000000000_Outputs,True,Descriptive statistics,False,,,
CheckBox_Corr,CheckBox,-1,True,400000000100_Outputs,True,Correlations,False,,,
CheckBoxSig,CheckBox,-1,True,400000000200_Outputs,True,Test significance,False,,,
TextBox_conf,TextBox,5,True,400000010300_Outputs,True,Significance level (%):,False,,,
CheckBoxBartlett,CheckBox,0,True,400000000400_Outputs,True,Bartlett's sphericity test,False,,,
CheckBoxKMO,CheckBox,0,True,400000000500_Outputs,True,Kaiser-Meyer-Olkin,False,,,
CheckBox_RankedMat,CheckBox,0,False,400000000600_Outputs,False,Ranks matrix,False,,,
CheckBoxLoadings,CheckBox,-1,True,400000000101_Outputs,True,Factor loadings,False,,,
CheckBoxScores,CheckBox,-1,True,400000000301_Outputs,True,Factor scores,False,,,
CheckBoxCorrFactVar,CheckBox,-1,True,400000000201_Outputs,True,Variables/Factors correlations,False,,,
CheckBoxEigen,CheckBox,-1,True,400000000001_Outputs,True,Eigenvalues,False,,,
CheckBoxContrib,CheckBox,-1,True,400000000401_Outputs,True,Contributions,False,,,
CheckBoxCos,CheckBox,-1,True,400000000501_Outputs,True,Squared cosines,False,,,
CheckBoxSuppObs,CheckBox,0,True,200000000000_Supplementary data,True,Supplementary observations,False,,,
RefEdit_SuppObs,RefEdit0,,True,200000000100_Supplementary data,True,,False,,,
CheckBox_VarLabelsSuppObs,CheckBox,0,True,200000000200_Supplementary data,True,Var. labels for supp. obs,False,,,
CheckBox_ObsLabelsSuppObs,CheckBox,0,True,200000000300_Supplementary data,True,Supp. obs labels,False,,,
RefEdit_ObsSuppLabels,RefEdit0,,True,200000000400_Supplementary data,True,,False,,,
CheckBoxSuppVar,CheckBox,0,True,200000000001_Supplementary data,True,Supplementary variables,False,,,
RefEdit_Q,RefEdit0,,True,200000000401_Supplementary data,True,Qualitative:,False,,,
CheckBox_Q,CheckBox,0,True,200000000301_Supplementary data,True,Qualitative,False,,,
RefEdit_X,RefEdit0,,True,200000000201_Supplementary data,True,Quantitative:,False,,,
CheckBox_X,CheckBox,0,True,200000000101_Supplementary data,True,Quantitative,False,,,
CheckBoxCentroids,CheckBox,0,True,200000000501_Supplementary data,True,Display centroids,False,,,
OptionButton_MVRemove,OptionButton,0,True,300000000100_Data options,True,Remove the observations,False,,,
OptionButton_MVRefuse,OptionButton,-1,True,300000000000_Data options,True,Do not accept missing data,False,,,
OptionButton_MeanMode,OptionButton,-1,True,300000000400_Data options,True,Mean or mode,False,,,
OptionButton_NN,OptionButton,0,True,300000010400_Data options,True,Nearest neighbor,False,,,
OptionButton_MVEstimate,OptionButton,0,True,300000000300_Data options,True,Estimate missing data,False,,,
OptionButton_MVPair,OptionButton,0,True,300000000200_Data options,True,Pairwise deletion,False,,,
OptionButton_MVReplace0,OptionButton,0,False,300000000500_Data options,False,Replace missing data by 0,False,,,
RefEditGroups,RefEdit0,,True,300000000101_Data options,True,,False,,,
CheckBoxByGroup,CheckBox,0,True,300000000001_Data options,True,By group analysis,False,,,
OptionButton_ByGroups,OptionButton,-1,True,300000000301_Data options,True,One PCA per group,False,,,
OptionButton_ByGroupsSelected,OptionButton,0,True,300000010301_Data options,True,One PCA per selected group,False,,,
OptionButton_GroupsMerged,OptionButton,0,True,300000020301_Data options,True,One PCA on merged groups,False,,,
CheckBoxIndCharts,CheckBox,-1,True,510000000000_Charts|Observations,True,Observations charts,False,,,
CheckBoxLabelsInd,CheckBox,-1,True,510000000100_Charts|Observations,True,Labels,False,,,
CheckBoxColorsLabelObs,CheckBox,0,True,510000000200_Charts|Observations,True,Colored labels,False,,,
CheckBoxSizeObs,CheckBox,0,True,510000000300_Charts|Observations,True,Resize points with Cos2,False,,,
CheckBoxColorObsGroup,CheckBox,0,True,510000000400_Charts|Observations,True,Color by group,False,,,
RefEditColorObsGroup,RefEdit0,,True,510000000500_Charts|Observations,True,Color by group,False,,,
CheckBoxEllipseGroup,CheckBox,0,True,510000000600_Charts|Observations,True,Confidence ellipses,False,,,
TextBox_Conf_Ellipse,TextBox,95,True,510000010700_Charts|Observations,True,,False,,,
RefEditGroupFilter,RefEdit0,,True,510000000501_Charts|Observations,True,Group variable:,False,,,
TextBoxPoints,TextBox,0.5,True,510000000301_Charts|Observations,True,Sum(Cos2)&gt;,False,,,
ComboBoxFilter,ComboBox,4,True,510000000101_Charts|Observations,True,Select the filtering option,False,,,
CheckBoxChartsFilter,CheckBox,0,True,510000000001_Charts|Observations,True,Filter,False,,,
CheckBoxVectors,CheckBox,-1,True,500000000000_Charts|Variables,True,Vectors,False,,,
CheckBoxCorrCharts,CheckBox,-1,True,500000000100_Charts|Variables,True,Correlation charts,False,,,
CheckBoxColorsVar,CheckBox,0,True,500000000200_Charts|Variables,True,Colored labels,False,,,
CheckBoxColorVarGroup,CheckBox,0,True,500000000300_Charts|Variables,True,Color by group,False,,,
RefEditColorVarGroup,RefEdit,,True,500000000400_Charts|Variables,True,Color by group,False,,,
CheckBoxSizeVar,CheckBox,0,True,500000000500_Charts|Variables,True,Resize points with Cos2,False,,,
CheckBoxLabelAngle,CheckBox,0,True,500000000600_Charts|Variables,True,Orientate labels,False,,,
RefEditGroupFilterVar,RefEdit,,True,500000000501_Charts|Variables,True,Group variable:,False,,,
TextBoxPointsVar,TextBox,50,True,500000000301_Charts|Variables,True,Number of variables:,False,,,
ComboBoxFilterVar,ComboBox,1,True,500000000101_Charts|Variables,True,Select the filtering option,False,,,
CheckBoxChartsFilterVar,CheckBox,-1,True,500000000001_Charts|Variables,True,Filter,False,,,
CheckBoxBiplotVectorsVar,CheckBox,-1,True,520000000200_Charts|Biplots,True,Vectors,False,,,
CheckBoxBiplotLabelsVar,CheckBox,-1,True,520000000300_Charts|Biplots,True,Labels,False,,,
CheckBoxBiplots,CheckBox,-1,True,520000000000_Charts|Biplots,True,Biplots,False,,,
CheckBoxBiplotLabelsObs,CheckBox,-1,True,520000000500_Charts|Biplots,True,Labels,False,,,
CheckBoxBiplotSuppObsVar,CheckBox,-1,True,520000000700_Charts|Biplots,True,Supp. Obs/Var,False,,,
CheckBoxBiplotFilterObsVar,CheckBox,-1,True,520000000800_Charts|Biplots,True,Filter Obs/Var,False,,,
ComboBoxBiplot,ComboBox,1,True,520000000101_Charts|Biplots,True,Select the type of biplot,False,,,
ComboBoxScale,ComboBox,3,True,520000000301_Charts|Biplots,True,Coefficient:,False,,,
TextBoxScale,TextBox,1,False,520000000401_Charts|Biplots,False,Coefficient:,False,,,
OptionButtonEllipseBoot,OptionButton,0,True,530000020000_Charts|Bootstrap charts,True,Confidence ellipses,False,,,
OptionButtonConvexHullBoot,OptionButton,-1,True,530000010000_Charts|Bootstrap charts,True,Convex hulls,False,,,
CheckBoxBootChart,CheckBox,0,True,530000000100_Charts|Bootstrap charts,True,Bootstrap observations chart,False,,,
TextBoxNbSampleBoot,TextBox,50,True,530000010200_Charts|Bootstrap charts,True,Number of samples:,False,,,
CheckBoxColorObsBoot,CheckBox,0,True,530000000300_Charts|Bootstrap charts,True,Color observations,False,,,
CheckBoxChartsFilterBoot,CheckBox,0,True,530000000400_Charts|Bootstrap charts,True,Filter observations,False,,,
ComboBoxRotation,ComboBox,0,True,100000000401_Options,True,Select the type of rotation,False,,,
CheckBoxRotation,CheckBox,0,True,100000000001_Options,True,Rotation,False,,,
TextBoxGammTau,TextBox,0,False,100000000701_Options,False,,False,,,
CheckBoxKaiser,CheckBox,0,True,100000000501_Options,True,Kaiser normalization,False,,,
TextBoxNbFact,TextBox,2,True,100000000201_Options,True,Number of factors:,False,,,
FileSelect1,CommandButton,,False,000000000400_General,False,,False,,,
OptionButton_W,OptionButton,0,True,000000000001_General,True,Workbook,False,,,
OptionButton_R,OptionButton,0,True,000000010001_General,True,Range,False,,,
OptionButton_S,OptionButton,-1,True,000000020001_General,True,Sheet,False,,,
RefEdit_R,RefEdit,,True,000000000101_General,True,Range:,False,,,
CheckBoxVarLabels,CheckBox,-1,True,000000000201_General,True,Variable labels,False,,,
FileSelect2,CommandButton,,False,200000000500_Supplementary data,False,,False,,,
ScrollBarSelect,ScrollBar,0,False,05,False,,,,,
CheckBoxMaxFilter,CheckBox,-1,True,100000030000_Options,True,Maximum number,False,,,
TextBoxCompMax,TextBox,5,True,100000040000_Options,True,,False,,,
CheckBoxMinFilter,CheckBox,0,True,100000010000_Options,True,Minimum %,False,,,
TextBoxMinPerc,TextBox,80,True,100000020000_Options,True,,False,,,
OptionButton_Std_n1,OptionButton,0,True,100000020100_Options,True,n-1,False,,,
OptionButton_Std_n,OptionButton,-1,True,100000010100_Options,True,n,False,,,
CheckBoxBiplotColorGroupObsVar,CheckBox,-1,True,520000000900_Charts|Biplots,True,Color Obs/Var,False,,,
CheckBoxDisplay2Axes,CheckBox,0,True,100000040100_Options,True,Display charts on the first two axes,False,,,
SpinButtonCompMax,SpinButton,5,True,100000050000_Options,False,,,,,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4</xdr:col>
      <xdr:colOff>6350</xdr:colOff>
      <xdr:row>9</xdr:row>
      <xdr:rowOff>470535</xdr:rowOff>
    </xdr:to>
    <xdr:sp macro="" textlink="">
      <xdr:nvSpPr>
        <xdr:cNvPr id="4" name="BK67747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34010" y="165227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66040</xdr:colOff>
      <xdr:row>9</xdr:row>
      <xdr:rowOff>53975</xdr:rowOff>
    </xdr:from>
    <xdr:to>
      <xdr:col>1</xdr:col>
      <xdr:colOff>427990</xdr:colOff>
      <xdr:row>9</xdr:row>
      <xdr:rowOff>415925</xdr:rowOff>
    </xdr:to>
    <xdr:pic macro="[0]!ReRunXLSTAT">
      <xdr:nvPicPr>
        <xdr:cNvPr id="5" name="BT67747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9</xdr:row>
      <xdr:rowOff>53975</xdr:rowOff>
    </xdr:from>
    <xdr:to>
      <xdr:col>2</xdr:col>
      <xdr:colOff>267970</xdr:colOff>
      <xdr:row>9</xdr:row>
      <xdr:rowOff>415925</xdr:rowOff>
    </xdr:to>
    <xdr:pic macro="[0]!AddRemovGrid">
      <xdr:nvPicPr>
        <xdr:cNvPr id="6" name="RM67747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9</xdr:row>
      <xdr:rowOff>53975</xdr:rowOff>
    </xdr:from>
    <xdr:to>
      <xdr:col>2</xdr:col>
      <xdr:colOff>267970</xdr:colOff>
      <xdr:row>9</xdr:row>
      <xdr:rowOff>415925</xdr:rowOff>
    </xdr:to>
    <xdr:pic macro="[0]!AddRemovGrid">
      <xdr:nvPicPr>
        <xdr:cNvPr id="7" name="AD677474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9</xdr:row>
      <xdr:rowOff>53975</xdr:rowOff>
    </xdr:from>
    <xdr:to>
      <xdr:col>3</xdr:col>
      <xdr:colOff>107950</xdr:colOff>
      <xdr:row>9</xdr:row>
      <xdr:rowOff>415925</xdr:rowOff>
    </xdr:to>
    <xdr:pic macro="[0]!SendToOfficeLocal">
      <xdr:nvPicPr>
        <xdr:cNvPr id="8" name="WD67747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16998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9</xdr:row>
      <xdr:rowOff>53975</xdr:rowOff>
    </xdr:from>
    <xdr:to>
      <xdr:col>3</xdr:col>
      <xdr:colOff>557530</xdr:colOff>
      <xdr:row>9</xdr:row>
      <xdr:rowOff>415925</xdr:rowOff>
    </xdr:to>
    <xdr:pic macro="[0]!SendToOfficeLocal">
      <xdr:nvPicPr>
        <xdr:cNvPr id="9" name="PT67747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169989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80</xdr:row>
      <xdr:rowOff>0</xdr:rowOff>
    </xdr:from>
    <xdr:to>
      <xdr:col>7</xdr:col>
      <xdr:colOff>502920</xdr:colOff>
      <xdr:row>98</xdr:row>
      <xdr:rowOff>152399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184</xdr:row>
      <xdr:rowOff>0</xdr:rowOff>
    </xdr:from>
    <xdr:to>
      <xdr:col>7</xdr:col>
      <xdr:colOff>114300</xdr:colOff>
      <xdr:row>203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6350</xdr:colOff>
      <xdr:row>263</xdr:row>
      <xdr:rowOff>22859</xdr:rowOff>
    </xdr:from>
    <xdr:to>
      <xdr:col>1</xdr:col>
      <xdr:colOff>170180</xdr:colOff>
      <xdr:row>264</xdr:row>
      <xdr:rowOff>3809</xdr:rowOff>
    </xdr:to>
    <xdr:pic macro="[1]!RunArrowDown">
      <xdr:nvPicPr>
        <xdr:cNvPr id="12" name="ArrDwn_533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4010" y="48912779"/>
          <a:ext cx="163830" cy="163830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365</xdr:row>
      <xdr:rowOff>0</xdr:rowOff>
    </xdr:from>
    <xdr:to>
      <xdr:col>1</xdr:col>
      <xdr:colOff>38100</xdr:colOff>
      <xdr:row>365</xdr:row>
      <xdr:rowOff>25400</xdr:rowOff>
    </xdr:to>
    <xdr:sp macro="" textlink="">
      <xdr:nvSpPr>
        <xdr:cNvPr id="13" name="TX289968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40360" y="675513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RunProcHAC
Form17.txt
RefEditT,RefEdit0,'XLSTAT_20240328_054226_1'!$C$264:$G$363,,,,,,
RefEdit_ObsLabels,RefEdit0,'XLSTAT_20240328_054226_1'!$B$264:$B$363,,,,,,
CheckBoxVarLabels,CheckBox,True,,,,,,
CheckBox_ObsLabels,CheckBox,True,,,,,,
</a:t>
          </a:r>
        </a:p>
      </xdr:txBody>
    </xdr:sp>
    <xdr:clientData/>
  </xdr:twoCellAnchor>
  <xdr:twoCellAnchor editAs="oneCell">
    <xdr:from>
      <xdr:col>1</xdr:col>
      <xdr:colOff>25400</xdr:colOff>
      <xdr:row>364</xdr:row>
      <xdr:rowOff>25395</xdr:rowOff>
    </xdr:from>
    <xdr:to>
      <xdr:col>1</xdr:col>
      <xdr:colOff>340360</xdr:colOff>
      <xdr:row>365</xdr:row>
      <xdr:rowOff>157475</xdr:rowOff>
    </xdr:to>
    <xdr:pic macro="[0]!ReRunXLSTAT">
      <xdr:nvPicPr>
        <xdr:cNvPr id="14" name="BT28996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060" y="67393815"/>
          <a:ext cx="314960" cy="31496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rgbClr val="ED753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5400000" rotWithShape="0">
            <a:srgbClr val="000000">
              <a:alpha val="40000"/>
            </a:srgbClr>
          </a:outerShdw>
        </a:effectLst>
      </xdr:spPr>
    </xdr:pic>
    <xdr:clientData fPrintsWithSheet="0"/>
  </xdr:twoCellAnchor>
  <xdr:twoCellAnchor>
    <xdr:from>
      <xdr:col>1</xdr:col>
      <xdr:colOff>0</xdr:colOff>
      <xdr:row>368</xdr:row>
      <xdr:rowOff>2</xdr:rowOff>
    </xdr:from>
    <xdr:to>
      <xdr:col>7</xdr:col>
      <xdr:colOff>220980</xdr:colOff>
      <xdr:row>386</xdr:row>
      <xdr:rowOff>175260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388</xdr:row>
      <xdr:rowOff>2</xdr:rowOff>
    </xdr:from>
    <xdr:to>
      <xdr:col>7</xdr:col>
      <xdr:colOff>0</xdr:colOff>
      <xdr:row>406</xdr:row>
      <xdr:rowOff>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522</xdr:row>
      <xdr:rowOff>2</xdr:rowOff>
    </xdr:from>
    <xdr:to>
      <xdr:col>7</xdr:col>
      <xdr:colOff>0</xdr:colOff>
      <xdr:row>540</xdr:row>
      <xdr:rowOff>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314960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8" name="XP677474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1496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PCA*SEP*Summary statistics*SEP*$B$14
PCA*SEP*Correlation matrix (Pearson (n))*SEP*$B$42
PCA*SEP*Principal Component Analysis*SEP*$B$71
PCA*SEP*Eigenvalues*SEP*$B$73
PCA*SEP*Eigenvectors*SEP*$B$101
PCA*SEP*Factor loadings*SEP*$B$129
PCA*SEP*Correlations between variables and factors*SEP*$B$157
PCA*SEP*Contribution of the variables (%)*SEP*$B$205
PCA*SEP*Squared cosines of the variables*SEP*$B$233
PCA*SEP*Factor scores*SEP*$B$262
PCA*SEP*Contribution of the observations (%)*SEP*$B$409
PCA*SEP*Axes homogeneity index*SEP*$B$513
PCA*SEP*Squared cosines of the observations*SEP*$B$543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472440</xdr:rowOff>
        </xdr:from>
        <xdr:to>
          <xdr:col>5</xdr:col>
          <xdr:colOff>0</xdr:colOff>
          <xdr:row>10</xdr:row>
          <xdr:rowOff>198120</xdr:rowOff>
        </xdr:to>
        <xdr:sp macro="" textlink="">
          <xdr:nvSpPr>
            <xdr:cNvPr id="2049" name="DD85375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Addinsoft\XLSTAT\XLSTAT.xla" TargetMode="External"/><Relationship Id="rId1" Type="http://schemas.openxmlformats.org/officeDocument/2006/relationships/externalLinkPath" Target="/Program%20Files/Addinsoft/XLSTAT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RunArrowDown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EBCD-9449-42DA-B0B3-31762BC3F68E}">
  <sheetPr codeName="Sheet1"/>
  <dimension ref="A1:AA100"/>
  <sheetViews>
    <sheetView workbookViewId="0">
      <selection activeCell="E104" sqref="E104"/>
    </sheetView>
  </sheetViews>
  <sheetFormatPr defaultRowHeight="14.4" x14ac:dyDescent="0.3"/>
  <cols>
    <col min="2" max="2" width="20.5546875" customWidth="1"/>
    <col min="3" max="3" width="27.109375" customWidth="1"/>
    <col min="4" max="4" width="34.21875" customWidth="1"/>
  </cols>
  <sheetData>
    <row r="1" spans="1:2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3">
      <c r="A2" s="1" t="s">
        <v>27</v>
      </c>
      <c r="B2" t="s">
        <v>28</v>
      </c>
      <c r="C2" t="s">
        <v>29</v>
      </c>
      <c r="D2" t="s">
        <v>30</v>
      </c>
      <c r="E2">
        <v>717</v>
      </c>
      <c r="F2">
        <v>0.85</v>
      </c>
      <c r="G2">
        <v>81.11</v>
      </c>
      <c r="H2">
        <v>0.06</v>
      </c>
      <c r="I2">
        <v>0.06</v>
      </c>
      <c r="J2">
        <v>0</v>
      </c>
      <c r="K2">
        <v>684</v>
      </c>
      <c r="L2">
        <v>3.0000000000000001E-3</v>
      </c>
      <c r="M2">
        <v>0.17</v>
      </c>
      <c r="N2">
        <v>0</v>
      </c>
      <c r="O2">
        <v>2.3199999999999998</v>
      </c>
      <c r="P2">
        <v>3</v>
      </c>
      <c r="Q2">
        <v>4.2000000000000003E-2</v>
      </c>
      <c r="R2">
        <v>3.4000000000000002E-2</v>
      </c>
      <c r="S2">
        <v>5.0000000000000001E-3</v>
      </c>
      <c r="T2">
        <v>24</v>
      </c>
      <c r="U2">
        <v>0</v>
      </c>
      <c r="V2">
        <v>0.02</v>
      </c>
      <c r="W2">
        <v>2</v>
      </c>
      <c r="X2">
        <v>0</v>
      </c>
      <c r="Y2">
        <v>24</v>
      </c>
      <c r="Z2">
        <v>1</v>
      </c>
      <c r="AA2">
        <v>0.09</v>
      </c>
    </row>
    <row r="3" spans="1:27" x14ac:dyDescent="0.3">
      <c r="A3" s="1" t="s">
        <v>31</v>
      </c>
      <c r="B3" t="s">
        <v>28</v>
      </c>
      <c r="C3" t="s">
        <v>32</v>
      </c>
      <c r="D3" t="s">
        <v>33</v>
      </c>
      <c r="E3">
        <v>717</v>
      </c>
      <c r="F3">
        <v>0.85</v>
      </c>
      <c r="G3">
        <v>81.11</v>
      </c>
      <c r="H3">
        <v>0.06</v>
      </c>
      <c r="I3">
        <v>0.06</v>
      </c>
      <c r="J3">
        <v>0</v>
      </c>
      <c r="K3">
        <v>684</v>
      </c>
      <c r="L3">
        <v>3.0000000000000001E-3</v>
      </c>
      <c r="M3">
        <v>0.13</v>
      </c>
      <c r="N3">
        <v>0</v>
      </c>
      <c r="O3">
        <v>2.3199999999999998</v>
      </c>
      <c r="P3">
        <v>3</v>
      </c>
      <c r="Q3">
        <v>4.2000000000000003E-2</v>
      </c>
      <c r="R3">
        <v>3.4000000000000002E-2</v>
      </c>
      <c r="S3">
        <v>5.0000000000000001E-3</v>
      </c>
      <c r="T3">
        <v>24</v>
      </c>
      <c r="U3">
        <v>1.6E-2</v>
      </c>
      <c r="V3">
        <v>0.16</v>
      </c>
      <c r="W3">
        <v>2</v>
      </c>
      <c r="X3">
        <v>4.0000000000000001E-3</v>
      </c>
      <c r="Y3">
        <v>23</v>
      </c>
      <c r="Z3">
        <v>1</v>
      </c>
      <c r="AA3">
        <v>0.05</v>
      </c>
    </row>
    <row r="4" spans="1:27" x14ac:dyDescent="0.3">
      <c r="A4" s="1" t="s">
        <v>34</v>
      </c>
      <c r="B4" t="s">
        <v>28</v>
      </c>
      <c r="C4" t="s">
        <v>35</v>
      </c>
      <c r="D4" t="s">
        <v>36</v>
      </c>
      <c r="E4">
        <v>876</v>
      </c>
      <c r="F4">
        <v>0.28000000000000003</v>
      </c>
      <c r="G4">
        <v>99.48</v>
      </c>
      <c r="H4">
        <v>0</v>
      </c>
      <c r="I4">
        <v>0</v>
      </c>
      <c r="J4">
        <v>0</v>
      </c>
      <c r="K4">
        <v>840</v>
      </c>
      <c r="L4">
        <v>1E-3</v>
      </c>
      <c r="M4">
        <v>0.01</v>
      </c>
      <c r="N4">
        <v>0</v>
      </c>
      <c r="O4">
        <v>2.8</v>
      </c>
      <c r="P4">
        <v>0</v>
      </c>
      <c r="Q4">
        <v>3.0000000000000001E-3</v>
      </c>
      <c r="R4">
        <v>5.0000000000000001E-3</v>
      </c>
      <c r="S4">
        <v>1E-3</v>
      </c>
      <c r="T4">
        <v>4</v>
      </c>
      <c r="U4">
        <v>1E-3</v>
      </c>
      <c r="V4">
        <v>0</v>
      </c>
      <c r="W4">
        <v>0</v>
      </c>
      <c r="X4">
        <v>0</v>
      </c>
      <c r="Y4">
        <v>3</v>
      </c>
      <c r="Z4">
        <v>0</v>
      </c>
      <c r="AA4">
        <v>0.01</v>
      </c>
    </row>
    <row r="5" spans="1:27" x14ac:dyDescent="0.3">
      <c r="A5" s="1" t="s">
        <v>37</v>
      </c>
      <c r="B5" t="s">
        <v>28</v>
      </c>
      <c r="C5" t="s">
        <v>38</v>
      </c>
      <c r="D5" t="s">
        <v>39</v>
      </c>
      <c r="E5">
        <v>353</v>
      </c>
      <c r="F5">
        <v>21.4</v>
      </c>
      <c r="G5">
        <v>28.74</v>
      </c>
      <c r="H5">
        <v>2.34</v>
      </c>
      <c r="I5">
        <v>0.5</v>
      </c>
      <c r="J5">
        <v>0</v>
      </c>
      <c r="K5">
        <v>198</v>
      </c>
      <c r="L5">
        <v>0.16600000000000001</v>
      </c>
      <c r="M5">
        <v>1.22</v>
      </c>
      <c r="N5">
        <v>0</v>
      </c>
      <c r="O5">
        <v>0.25</v>
      </c>
      <c r="P5">
        <v>36</v>
      </c>
      <c r="Q5">
        <v>1.016</v>
      </c>
      <c r="R5">
        <v>0.38200000000000001</v>
      </c>
      <c r="S5">
        <v>2.9000000000000001E-2</v>
      </c>
      <c r="T5">
        <v>528</v>
      </c>
      <c r="U5">
        <v>0.04</v>
      </c>
      <c r="V5">
        <v>0.31</v>
      </c>
      <c r="W5">
        <v>23</v>
      </c>
      <c r="X5">
        <v>8.9999999999999993E-3</v>
      </c>
      <c r="Y5">
        <v>387</v>
      </c>
      <c r="Z5">
        <v>14.5</v>
      </c>
      <c r="AA5">
        <v>2.66</v>
      </c>
    </row>
    <row r="6" spans="1:27" x14ac:dyDescent="0.3">
      <c r="A6" s="1" t="s">
        <v>40</v>
      </c>
      <c r="B6" t="s">
        <v>28</v>
      </c>
      <c r="C6" t="s">
        <v>41</v>
      </c>
      <c r="D6" t="s">
        <v>42</v>
      </c>
      <c r="E6">
        <v>371</v>
      </c>
      <c r="F6">
        <v>23.24</v>
      </c>
      <c r="G6">
        <v>29.68</v>
      </c>
      <c r="H6">
        <v>2.79</v>
      </c>
      <c r="I6">
        <v>0.51</v>
      </c>
      <c r="J6">
        <v>0</v>
      </c>
      <c r="K6">
        <v>292</v>
      </c>
      <c r="L6">
        <v>6.5000000000000002E-2</v>
      </c>
      <c r="M6">
        <v>1.26</v>
      </c>
      <c r="N6">
        <v>0</v>
      </c>
      <c r="O6">
        <v>0.26</v>
      </c>
      <c r="P6">
        <v>20</v>
      </c>
      <c r="Q6">
        <v>0.11799999999999999</v>
      </c>
      <c r="R6">
        <v>0.35099999999999998</v>
      </c>
      <c r="S6">
        <v>1.4E-2</v>
      </c>
      <c r="T6">
        <v>674</v>
      </c>
      <c r="U6">
        <v>2.4E-2</v>
      </c>
      <c r="V6">
        <v>0.43</v>
      </c>
      <c r="W6">
        <v>24</v>
      </c>
      <c r="X6">
        <v>1.2E-2</v>
      </c>
      <c r="Y6">
        <v>451</v>
      </c>
      <c r="Z6">
        <v>14.5</v>
      </c>
      <c r="AA6">
        <v>2.6</v>
      </c>
    </row>
    <row r="7" spans="1:27" x14ac:dyDescent="0.3">
      <c r="A7" s="1" t="s">
        <v>43</v>
      </c>
      <c r="B7" t="s">
        <v>28</v>
      </c>
      <c r="C7" t="s">
        <v>44</v>
      </c>
      <c r="D7" t="s">
        <v>45</v>
      </c>
      <c r="E7">
        <v>334</v>
      </c>
      <c r="F7">
        <v>20.75</v>
      </c>
      <c r="G7">
        <v>27.68</v>
      </c>
      <c r="H7">
        <v>0.45</v>
      </c>
      <c r="I7">
        <v>0.45</v>
      </c>
      <c r="J7">
        <v>0</v>
      </c>
      <c r="K7">
        <v>174</v>
      </c>
      <c r="L7">
        <v>0.23499999999999999</v>
      </c>
      <c r="M7">
        <v>1.65</v>
      </c>
      <c r="N7">
        <v>0</v>
      </c>
      <c r="O7">
        <v>0.24</v>
      </c>
      <c r="P7">
        <v>65</v>
      </c>
      <c r="Q7">
        <v>0.38</v>
      </c>
      <c r="R7">
        <v>0.52</v>
      </c>
      <c r="S7">
        <v>7.0000000000000007E-2</v>
      </c>
      <c r="T7">
        <v>184</v>
      </c>
      <c r="U7">
        <v>1.9E-2</v>
      </c>
      <c r="V7">
        <v>0.5</v>
      </c>
      <c r="W7">
        <v>20</v>
      </c>
      <c r="X7">
        <v>3.4000000000000002E-2</v>
      </c>
      <c r="Y7">
        <v>188</v>
      </c>
      <c r="Z7">
        <v>14.5</v>
      </c>
      <c r="AA7">
        <v>2.38</v>
      </c>
    </row>
    <row r="8" spans="1:27" x14ac:dyDescent="0.3">
      <c r="A8" s="1" t="s">
        <v>46</v>
      </c>
      <c r="B8" t="s">
        <v>28</v>
      </c>
      <c r="C8" t="s">
        <v>47</v>
      </c>
      <c r="D8" t="s">
        <v>48</v>
      </c>
      <c r="E8">
        <v>300</v>
      </c>
      <c r="F8">
        <v>19.8</v>
      </c>
      <c r="G8">
        <v>24.26</v>
      </c>
      <c r="H8">
        <v>0.46</v>
      </c>
      <c r="I8">
        <v>0.46</v>
      </c>
      <c r="J8">
        <v>0</v>
      </c>
      <c r="K8">
        <v>241</v>
      </c>
      <c r="L8">
        <v>0.22700000000000001</v>
      </c>
      <c r="M8">
        <v>1.3</v>
      </c>
      <c r="N8">
        <v>0</v>
      </c>
      <c r="O8">
        <v>0.21</v>
      </c>
      <c r="P8">
        <v>62</v>
      </c>
      <c r="Q8">
        <v>0.63</v>
      </c>
      <c r="R8">
        <v>0.48799999999999999</v>
      </c>
      <c r="S8">
        <v>2.8000000000000001E-2</v>
      </c>
      <c r="T8">
        <v>388</v>
      </c>
      <c r="U8">
        <v>2.1000000000000001E-2</v>
      </c>
      <c r="V8">
        <v>0.33</v>
      </c>
      <c r="W8">
        <v>20</v>
      </c>
      <c r="X8">
        <v>3.7999999999999999E-2</v>
      </c>
      <c r="Y8">
        <v>347</v>
      </c>
      <c r="Z8">
        <v>14.5</v>
      </c>
      <c r="AA8">
        <v>2.38</v>
      </c>
    </row>
    <row r="9" spans="1:27" x14ac:dyDescent="0.3">
      <c r="A9" s="1" t="s">
        <v>49</v>
      </c>
      <c r="B9" t="s">
        <v>28</v>
      </c>
      <c r="C9" t="s">
        <v>50</v>
      </c>
      <c r="D9" t="s">
        <v>51</v>
      </c>
      <c r="E9">
        <v>376</v>
      </c>
      <c r="F9">
        <v>25.18</v>
      </c>
      <c r="G9">
        <v>29.2</v>
      </c>
      <c r="H9">
        <v>3.06</v>
      </c>
      <c r="I9">
        <v>0</v>
      </c>
      <c r="J9">
        <v>0</v>
      </c>
      <c r="K9">
        <v>271</v>
      </c>
      <c r="L9">
        <v>7.3999999999999996E-2</v>
      </c>
      <c r="M9">
        <v>0.27</v>
      </c>
      <c r="N9">
        <v>0</v>
      </c>
      <c r="O9">
        <v>0</v>
      </c>
      <c r="P9">
        <v>18</v>
      </c>
      <c r="Q9">
        <v>0.18</v>
      </c>
      <c r="R9">
        <v>0.45</v>
      </c>
      <c r="S9">
        <v>3.1E-2</v>
      </c>
      <c r="T9">
        <v>673</v>
      </c>
      <c r="U9">
        <v>2.4E-2</v>
      </c>
      <c r="V9">
        <v>0.64</v>
      </c>
      <c r="W9">
        <v>22</v>
      </c>
      <c r="X9">
        <v>2.1000000000000001E-2</v>
      </c>
      <c r="Y9">
        <v>490</v>
      </c>
      <c r="Z9">
        <v>14.5</v>
      </c>
      <c r="AA9">
        <v>2.94</v>
      </c>
    </row>
    <row r="10" spans="1:27" x14ac:dyDescent="0.3">
      <c r="A10" s="1" t="s">
        <v>52</v>
      </c>
      <c r="B10" t="s">
        <v>28</v>
      </c>
      <c r="C10" t="s">
        <v>53</v>
      </c>
      <c r="D10" t="s">
        <v>54</v>
      </c>
      <c r="E10">
        <v>406</v>
      </c>
      <c r="F10">
        <v>24.04</v>
      </c>
      <c r="G10">
        <v>33.82</v>
      </c>
      <c r="H10">
        <v>1.33</v>
      </c>
      <c r="I10">
        <v>0.28000000000000003</v>
      </c>
      <c r="J10">
        <v>0</v>
      </c>
      <c r="K10">
        <v>263</v>
      </c>
      <c r="L10">
        <v>4.9000000000000002E-2</v>
      </c>
      <c r="M10">
        <v>0.88</v>
      </c>
      <c r="N10">
        <v>0</v>
      </c>
      <c r="O10">
        <v>0.78</v>
      </c>
      <c r="P10">
        <v>26</v>
      </c>
      <c r="Q10">
        <v>3.9E-2</v>
      </c>
      <c r="R10">
        <v>0.434</v>
      </c>
      <c r="S10">
        <v>2.7E-2</v>
      </c>
      <c r="T10">
        <v>675</v>
      </c>
      <c r="U10">
        <v>5.6000000000000001E-2</v>
      </c>
      <c r="V10">
        <v>0.16</v>
      </c>
      <c r="W10">
        <v>27</v>
      </c>
      <c r="X10">
        <v>3.3000000000000002E-2</v>
      </c>
      <c r="Y10">
        <v>473</v>
      </c>
      <c r="Z10">
        <v>28.3</v>
      </c>
      <c r="AA10">
        <v>3.43</v>
      </c>
    </row>
    <row r="11" spans="1:27" x14ac:dyDescent="0.3">
      <c r="A11" s="1" t="s">
        <v>55</v>
      </c>
      <c r="B11" t="s">
        <v>28</v>
      </c>
      <c r="C11" t="s">
        <v>56</v>
      </c>
      <c r="D11" t="s">
        <v>57</v>
      </c>
      <c r="E11">
        <v>387</v>
      </c>
      <c r="F11">
        <v>23.37</v>
      </c>
      <c r="G11">
        <v>30.6</v>
      </c>
      <c r="H11">
        <v>4.78</v>
      </c>
      <c r="I11">
        <v>0</v>
      </c>
      <c r="J11">
        <v>0</v>
      </c>
      <c r="K11">
        <v>233</v>
      </c>
      <c r="L11">
        <v>7.3999999999999996E-2</v>
      </c>
      <c r="M11">
        <v>0.83</v>
      </c>
      <c r="N11">
        <v>0</v>
      </c>
      <c r="O11">
        <v>0</v>
      </c>
      <c r="P11">
        <v>18</v>
      </c>
      <c r="Q11">
        <v>0.08</v>
      </c>
      <c r="R11">
        <v>0.29299999999999998</v>
      </c>
      <c r="S11">
        <v>4.5999999999999999E-2</v>
      </c>
      <c r="T11">
        <v>643</v>
      </c>
      <c r="U11">
        <v>4.2000000000000003E-2</v>
      </c>
      <c r="V11">
        <v>0.21</v>
      </c>
      <c r="W11">
        <v>21</v>
      </c>
      <c r="X11">
        <v>1.2E-2</v>
      </c>
      <c r="Y11">
        <v>464</v>
      </c>
      <c r="Z11">
        <v>14.5</v>
      </c>
      <c r="AA11">
        <v>2.79</v>
      </c>
    </row>
    <row r="12" spans="1:27" x14ac:dyDescent="0.3">
      <c r="A12" s="1" t="s">
        <v>58</v>
      </c>
      <c r="B12" t="s">
        <v>28</v>
      </c>
      <c r="C12" t="s">
        <v>59</v>
      </c>
      <c r="D12" t="s">
        <v>60</v>
      </c>
      <c r="E12">
        <v>394</v>
      </c>
      <c r="F12">
        <v>23.76</v>
      </c>
      <c r="G12">
        <v>32.11</v>
      </c>
      <c r="H12">
        <v>2.57</v>
      </c>
      <c r="I12">
        <v>0.52</v>
      </c>
      <c r="J12">
        <v>0</v>
      </c>
      <c r="K12">
        <v>264</v>
      </c>
      <c r="L12">
        <v>7.9000000000000001E-2</v>
      </c>
      <c r="M12">
        <v>0.83</v>
      </c>
      <c r="N12">
        <v>0</v>
      </c>
      <c r="O12">
        <v>0.28000000000000003</v>
      </c>
      <c r="P12">
        <v>18</v>
      </c>
      <c r="Q12">
        <v>9.2999999999999999E-2</v>
      </c>
      <c r="R12">
        <v>0.375</v>
      </c>
      <c r="S12">
        <v>1.4999999999999999E-2</v>
      </c>
      <c r="T12">
        <v>685</v>
      </c>
      <c r="U12">
        <v>4.2000000000000003E-2</v>
      </c>
      <c r="V12">
        <v>0.76</v>
      </c>
      <c r="W12">
        <v>26</v>
      </c>
      <c r="X12">
        <v>1.2E-2</v>
      </c>
      <c r="Y12">
        <v>457</v>
      </c>
      <c r="Z12">
        <v>14.5</v>
      </c>
      <c r="AA12">
        <v>3.07</v>
      </c>
    </row>
    <row r="13" spans="1:27" x14ac:dyDescent="0.3">
      <c r="A13" s="1" t="s">
        <v>61</v>
      </c>
      <c r="B13" t="s">
        <v>28</v>
      </c>
      <c r="C13" t="s">
        <v>62</v>
      </c>
      <c r="D13" t="s">
        <v>63</v>
      </c>
      <c r="E13">
        <v>98</v>
      </c>
      <c r="F13">
        <v>11.12</v>
      </c>
      <c r="G13">
        <v>4.3</v>
      </c>
      <c r="H13">
        <v>3.38</v>
      </c>
      <c r="I13">
        <v>2.67</v>
      </c>
      <c r="J13">
        <v>0</v>
      </c>
      <c r="K13">
        <v>37</v>
      </c>
      <c r="L13">
        <v>4.5999999999999999E-2</v>
      </c>
      <c r="M13">
        <v>0.43</v>
      </c>
      <c r="N13">
        <v>0</v>
      </c>
      <c r="O13">
        <v>0.08</v>
      </c>
      <c r="P13">
        <v>12</v>
      </c>
      <c r="Q13">
        <v>9.9000000000000005E-2</v>
      </c>
      <c r="R13">
        <v>0.16300000000000001</v>
      </c>
      <c r="S13">
        <v>2.7E-2</v>
      </c>
      <c r="T13">
        <v>83</v>
      </c>
      <c r="U13">
        <v>2.9000000000000001E-2</v>
      </c>
      <c r="V13">
        <v>7.0000000000000007E-2</v>
      </c>
      <c r="W13">
        <v>8</v>
      </c>
      <c r="X13">
        <v>2E-3</v>
      </c>
      <c r="Y13">
        <v>159</v>
      </c>
      <c r="Z13">
        <v>9.6999999999999993</v>
      </c>
      <c r="AA13">
        <v>0.4</v>
      </c>
    </row>
    <row r="14" spans="1:27" x14ac:dyDescent="0.3">
      <c r="A14" s="1" t="s">
        <v>64</v>
      </c>
      <c r="B14" t="s">
        <v>28</v>
      </c>
      <c r="C14" t="s">
        <v>65</v>
      </c>
      <c r="D14" t="s">
        <v>66</v>
      </c>
      <c r="E14">
        <v>97</v>
      </c>
      <c r="F14">
        <v>10.69</v>
      </c>
      <c r="G14">
        <v>3.85</v>
      </c>
      <c r="H14">
        <v>4.6100000000000003</v>
      </c>
      <c r="I14">
        <v>2.38</v>
      </c>
      <c r="J14">
        <v>0.2</v>
      </c>
      <c r="K14">
        <v>38</v>
      </c>
      <c r="L14">
        <v>6.8000000000000005E-2</v>
      </c>
      <c r="M14">
        <v>0.53</v>
      </c>
      <c r="N14">
        <v>1.4</v>
      </c>
      <c r="O14">
        <v>0.04</v>
      </c>
      <c r="P14">
        <v>11</v>
      </c>
      <c r="Q14">
        <v>0.15</v>
      </c>
      <c r="R14">
        <v>0.14199999999999999</v>
      </c>
      <c r="S14">
        <v>3.3000000000000002E-2</v>
      </c>
      <c r="T14">
        <v>53</v>
      </c>
      <c r="U14">
        <v>0.04</v>
      </c>
      <c r="V14">
        <v>0.16</v>
      </c>
      <c r="W14">
        <v>7</v>
      </c>
      <c r="X14">
        <v>3.0000000000000001E-3</v>
      </c>
      <c r="Y14">
        <v>113</v>
      </c>
      <c r="Z14">
        <v>7.7</v>
      </c>
      <c r="AA14">
        <v>0.33</v>
      </c>
    </row>
    <row r="15" spans="1:27" x14ac:dyDescent="0.3">
      <c r="A15" s="1" t="s">
        <v>67</v>
      </c>
      <c r="B15" t="s">
        <v>28</v>
      </c>
      <c r="C15" t="s">
        <v>68</v>
      </c>
      <c r="D15" t="s">
        <v>69</v>
      </c>
      <c r="E15">
        <v>72</v>
      </c>
      <c r="F15">
        <v>10.34</v>
      </c>
      <c r="G15">
        <v>0.28999999999999998</v>
      </c>
      <c r="H15">
        <v>6.66</v>
      </c>
      <c r="I15">
        <v>1.85</v>
      </c>
      <c r="J15">
        <v>0</v>
      </c>
      <c r="K15">
        <v>2</v>
      </c>
      <c r="L15">
        <v>1.6E-2</v>
      </c>
      <c r="M15">
        <v>0.46</v>
      </c>
      <c r="N15">
        <v>0</v>
      </c>
      <c r="O15">
        <v>0.01</v>
      </c>
      <c r="P15">
        <v>9</v>
      </c>
      <c r="Q15">
        <v>0.14399999999999999</v>
      </c>
      <c r="R15">
        <v>0.22600000000000001</v>
      </c>
      <c r="S15">
        <v>2.3E-2</v>
      </c>
      <c r="T15">
        <v>86</v>
      </c>
      <c r="U15">
        <v>0.03</v>
      </c>
      <c r="V15">
        <v>0.15</v>
      </c>
      <c r="W15">
        <v>11</v>
      </c>
      <c r="X15">
        <v>2.1999999999999999E-2</v>
      </c>
      <c r="Y15">
        <v>190</v>
      </c>
      <c r="Z15">
        <v>9.4</v>
      </c>
      <c r="AA15">
        <v>0.47</v>
      </c>
    </row>
    <row r="16" spans="1:27" x14ac:dyDescent="0.3">
      <c r="A16" s="1" t="s">
        <v>70</v>
      </c>
      <c r="B16" t="s">
        <v>28</v>
      </c>
      <c r="C16" t="s">
        <v>71</v>
      </c>
      <c r="D16" t="s">
        <v>72</v>
      </c>
      <c r="E16">
        <v>81</v>
      </c>
      <c r="F16">
        <v>10.45</v>
      </c>
      <c r="G16">
        <v>2.27</v>
      </c>
      <c r="H16">
        <v>4.76</v>
      </c>
      <c r="I16">
        <v>4</v>
      </c>
      <c r="J16">
        <v>0</v>
      </c>
      <c r="K16">
        <v>68</v>
      </c>
      <c r="L16">
        <v>5.7000000000000002E-2</v>
      </c>
      <c r="M16">
        <v>0.47</v>
      </c>
      <c r="N16">
        <v>0</v>
      </c>
      <c r="O16">
        <v>0.08</v>
      </c>
      <c r="P16">
        <v>8</v>
      </c>
      <c r="Q16">
        <v>0.10299999999999999</v>
      </c>
      <c r="R16">
        <v>0.251</v>
      </c>
      <c r="S16">
        <v>0.02</v>
      </c>
      <c r="T16">
        <v>111</v>
      </c>
      <c r="U16">
        <v>3.3000000000000002E-2</v>
      </c>
      <c r="V16">
        <v>0.13</v>
      </c>
      <c r="W16">
        <v>9</v>
      </c>
      <c r="X16">
        <v>1.4999999999999999E-2</v>
      </c>
      <c r="Y16">
        <v>150</v>
      </c>
      <c r="Z16">
        <v>11.9</v>
      </c>
      <c r="AA16">
        <v>0.51</v>
      </c>
    </row>
    <row r="17" spans="1:27" x14ac:dyDescent="0.3">
      <c r="A17" s="1" t="s">
        <v>73</v>
      </c>
      <c r="B17" t="s">
        <v>28</v>
      </c>
      <c r="C17" t="s">
        <v>74</v>
      </c>
      <c r="D17" t="s">
        <v>75</v>
      </c>
      <c r="E17">
        <v>72</v>
      </c>
      <c r="F17">
        <v>12.39</v>
      </c>
      <c r="G17">
        <v>1.02</v>
      </c>
      <c r="H17">
        <v>2.72</v>
      </c>
      <c r="I17">
        <v>2.72</v>
      </c>
      <c r="J17">
        <v>0</v>
      </c>
      <c r="K17">
        <v>11</v>
      </c>
      <c r="L17">
        <v>6.8000000000000005E-2</v>
      </c>
      <c r="M17">
        <v>0.63</v>
      </c>
      <c r="N17">
        <v>0</v>
      </c>
      <c r="O17">
        <v>0.01</v>
      </c>
      <c r="P17">
        <v>12</v>
      </c>
      <c r="Q17">
        <v>0.128</v>
      </c>
      <c r="R17">
        <v>0.16500000000000001</v>
      </c>
      <c r="S17">
        <v>2.1000000000000001E-2</v>
      </c>
      <c r="T17">
        <v>61</v>
      </c>
      <c r="U17">
        <v>2.8000000000000001E-2</v>
      </c>
      <c r="V17">
        <v>0.14000000000000001</v>
      </c>
      <c r="W17">
        <v>5</v>
      </c>
      <c r="X17">
        <v>3.0000000000000001E-3</v>
      </c>
      <c r="Y17">
        <v>134</v>
      </c>
      <c r="Z17">
        <v>9</v>
      </c>
      <c r="AA17">
        <v>0.38</v>
      </c>
    </row>
    <row r="18" spans="1:27" x14ac:dyDescent="0.3">
      <c r="A18" s="1" t="s">
        <v>76</v>
      </c>
      <c r="B18" t="s">
        <v>28</v>
      </c>
      <c r="C18" t="s">
        <v>77</v>
      </c>
      <c r="D18" t="s">
        <v>78</v>
      </c>
      <c r="E18">
        <v>342</v>
      </c>
      <c r="F18">
        <v>5.93</v>
      </c>
      <c r="G18">
        <v>34.24</v>
      </c>
      <c r="H18">
        <v>4.07</v>
      </c>
      <c r="I18">
        <v>3.21</v>
      </c>
      <c r="J18">
        <v>0</v>
      </c>
      <c r="K18">
        <v>366</v>
      </c>
      <c r="L18">
        <v>3.5000000000000003E-2</v>
      </c>
      <c r="M18">
        <v>0.25</v>
      </c>
      <c r="N18">
        <v>0</v>
      </c>
      <c r="O18">
        <v>0.28999999999999998</v>
      </c>
      <c r="P18">
        <v>11</v>
      </c>
      <c r="Q18">
        <v>0.14499999999999999</v>
      </c>
      <c r="R18">
        <v>0.125</v>
      </c>
      <c r="S18">
        <v>0.02</v>
      </c>
      <c r="T18">
        <v>98</v>
      </c>
      <c r="U18">
        <v>1.9E-2</v>
      </c>
      <c r="V18">
        <v>0.38</v>
      </c>
      <c r="W18">
        <v>9</v>
      </c>
      <c r="X18">
        <v>1.0999999999999999E-2</v>
      </c>
      <c r="Y18">
        <v>106</v>
      </c>
      <c r="Z18">
        <v>2.4</v>
      </c>
      <c r="AA18">
        <v>0.51</v>
      </c>
    </row>
    <row r="19" spans="1:27" x14ac:dyDescent="0.3">
      <c r="A19" s="1" t="s">
        <v>79</v>
      </c>
      <c r="B19" t="s">
        <v>28</v>
      </c>
      <c r="C19" t="s">
        <v>80</v>
      </c>
      <c r="D19" t="s">
        <v>81</v>
      </c>
      <c r="E19">
        <v>357</v>
      </c>
      <c r="F19">
        <v>24.99</v>
      </c>
      <c r="G19">
        <v>27.8</v>
      </c>
      <c r="H19">
        <v>1.43</v>
      </c>
      <c r="I19">
        <v>1.43</v>
      </c>
      <c r="J19">
        <v>0</v>
      </c>
      <c r="K19">
        <v>243</v>
      </c>
      <c r="L19">
        <v>7.5999999999999998E-2</v>
      </c>
      <c r="M19">
        <v>1.54</v>
      </c>
      <c r="N19">
        <v>0</v>
      </c>
      <c r="O19">
        <v>0.24</v>
      </c>
      <c r="P19">
        <v>16</v>
      </c>
      <c r="Q19">
        <v>8.2000000000000003E-2</v>
      </c>
      <c r="R19">
        <v>0.38900000000000001</v>
      </c>
      <c r="S19">
        <v>3.6999999999999998E-2</v>
      </c>
      <c r="T19">
        <v>731</v>
      </c>
      <c r="U19">
        <v>3.5999999999999997E-2</v>
      </c>
      <c r="V19">
        <v>0.44</v>
      </c>
      <c r="W19">
        <v>30</v>
      </c>
      <c r="X19">
        <v>1.0999999999999999E-2</v>
      </c>
      <c r="Y19">
        <v>536</v>
      </c>
      <c r="Z19">
        <v>14.5</v>
      </c>
      <c r="AA19">
        <v>3.75</v>
      </c>
    </row>
    <row r="20" spans="1:27" x14ac:dyDescent="0.3">
      <c r="A20" s="1" t="s">
        <v>82</v>
      </c>
      <c r="B20" t="s">
        <v>28</v>
      </c>
      <c r="C20" t="s">
        <v>83</v>
      </c>
      <c r="D20" t="s">
        <v>84</v>
      </c>
      <c r="E20">
        <v>264</v>
      </c>
      <c r="F20">
        <v>14.21</v>
      </c>
      <c r="G20">
        <v>21.28</v>
      </c>
      <c r="H20">
        <v>4.09</v>
      </c>
      <c r="I20">
        <v>4.09</v>
      </c>
      <c r="J20">
        <v>0</v>
      </c>
      <c r="K20">
        <v>125</v>
      </c>
      <c r="L20">
        <v>0.42399999999999999</v>
      </c>
      <c r="M20">
        <v>1.69</v>
      </c>
      <c r="N20">
        <v>0</v>
      </c>
      <c r="O20">
        <v>0.18</v>
      </c>
      <c r="P20">
        <v>32</v>
      </c>
      <c r="Q20">
        <v>0.99099999999999999</v>
      </c>
      <c r="R20">
        <v>0.84399999999999997</v>
      </c>
      <c r="S20">
        <v>0.154</v>
      </c>
      <c r="T20">
        <v>493</v>
      </c>
      <c r="U20">
        <v>3.2000000000000001E-2</v>
      </c>
      <c r="V20">
        <v>0.65</v>
      </c>
      <c r="W20">
        <v>19</v>
      </c>
      <c r="X20">
        <v>2.8000000000000001E-2</v>
      </c>
      <c r="Y20">
        <v>337</v>
      </c>
      <c r="Z20">
        <v>15</v>
      </c>
      <c r="AA20">
        <v>2.88</v>
      </c>
    </row>
    <row r="21" spans="1:27" x14ac:dyDescent="0.3">
      <c r="A21" s="1" t="s">
        <v>85</v>
      </c>
      <c r="B21" t="s">
        <v>28</v>
      </c>
      <c r="C21" t="s">
        <v>86</v>
      </c>
      <c r="D21" t="s">
        <v>87</v>
      </c>
      <c r="E21">
        <v>389</v>
      </c>
      <c r="F21">
        <v>25.6</v>
      </c>
      <c r="G21">
        <v>31.14</v>
      </c>
      <c r="H21">
        <v>1.55</v>
      </c>
      <c r="I21">
        <v>1.55</v>
      </c>
      <c r="J21">
        <v>0</v>
      </c>
      <c r="K21">
        <v>261</v>
      </c>
      <c r="L21">
        <v>8.3000000000000004E-2</v>
      </c>
      <c r="M21">
        <v>1.68</v>
      </c>
      <c r="N21">
        <v>0</v>
      </c>
      <c r="O21">
        <v>0.27</v>
      </c>
      <c r="P21">
        <v>6</v>
      </c>
      <c r="Q21">
        <v>0.15</v>
      </c>
      <c r="R21">
        <v>0.20399999999999999</v>
      </c>
      <c r="S21">
        <v>2.1000000000000001E-2</v>
      </c>
      <c r="T21">
        <v>550</v>
      </c>
      <c r="U21">
        <v>2.5000000000000001E-2</v>
      </c>
      <c r="V21">
        <v>0.23</v>
      </c>
      <c r="W21">
        <v>14</v>
      </c>
      <c r="X21">
        <v>1.4E-2</v>
      </c>
      <c r="Y21">
        <v>346</v>
      </c>
      <c r="Z21">
        <v>14.5</v>
      </c>
      <c r="AA21">
        <v>3.5</v>
      </c>
    </row>
    <row r="22" spans="1:27" x14ac:dyDescent="0.3">
      <c r="A22" s="1" t="s">
        <v>88</v>
      </c>
      <c r="B22" t="s">
        <v>28</v>
      </c>
      <c r="C22" t="s">
        <v>89</v>
      </c>
      <c r="D22" t="s">
        <v>90</v>
      </c>
      <c r="E22">
        <v>466</v>
      </c>
      <c r="F22">
        <v>9.65</v>
      </c>
      <c r="G22">
        <v>29.51</v>
      </c>
      <c r="H22">
        <v>42.65</v>
      </c>
      <c r="I22">
        <v>0</v>
      </c>
      <c r="J22">
        <v>0</v>
      </c>
      <c r="K22">
        <v>334</v>
      </c>
      <c r="L22">
        <v>0.27100000000000002</v>
      </c>
      <c r="M22">
        <v>2.42</v>
      </c>
      <c r="N22">
        <v>0</v>
      </c>
      <c r="O22">
        <v>0</v>
      </c>
      <c r="P22">
        <v>5</v>
      </c>
      <c r="Q22">
        <v>0.81299999999999994</v>
      </c>
      <c r="R22">
        <v>1.3819999999999999</v>
      </c>
      <c r="S22">
        <v>0.315</v>
      </c>
      <c r="T22">
        <v>400</v>
      </c>
      <c r="U22">
        <v>0.08</v>
      </c>
      <c r="V22">
        <v>0.52</v>
      </c>
      <c r="W22">
        <v>70</v>
      </c>
      <c r="X22">
        <v>0.04</v>
      </c>
      <c r="Y22">
        <v>444</v>
      </c>
      <c r="Z22">
        <v>14.5</v>
      </c>
      <c r="AA22">
        <v>1.1399999999999999</v>
      </c>
    </row>
    <row r="23" spans="1:27" x14ac:dyDescent="0.3">
      <c r="A23" s="1" t="s">
        <v>91</v>
      </c>
      <c r="B23" t="s">
        <v>28</v>
      </c>
      <c r="C23" t="s">
        <v>92</v>
      </c>
      <c r="D23" t="s">
        <v>93</v>
      </c>
      <c r="E23">
        <v>356</v>
      </c>
      <c r="F23">
        <v>24.94</v>
      </c>
      <c r="G23">
        <v>27.44</v>
      </c>
      <c r="H23">
        <v>2.2200000000000002</v>
      </c>
      <c r="I23">
        <v>2.2200000000000002</v>
      </c>
      <c r="J23">
        <v>0</v>
      </c>
      <c r="K23">
        <v>165</v>
      </c>
      <c r="L23">
        <v>0.08</v>
      </c>
      <c r="M23">
        <v>1.54</v>
      </c>
      <c r="N23">
        <v>0</v>
      </c>
      <c r="O23">
        <v>0.24</v>
      </c>
      <c r="P23">
        <v>21</v>
      </c>
      <c r="Q23">
        <v>6.3E-2</v>
      </c>
      <c r="R23">
        <v>0.33400000000000002</v>
      </c>
      <c r="S23">
        <v>0.03</v>
      </c>
      <c r="T23">
        <v>700</v>
      </c>
      <c r="U23">
        <v>3.5999999999999997E-2</v>
      </c>
      <c r="V23">
        <v>0.24</v>
      </c>
      <c r="W23">
        <v>29</v>
      </c>
      <c r="X23">
        <v>1.0999999999999999E-2</v>
      </c>
      <c r="Y23">
        <v>546</v>
      </c>
      <c r="Z23">
        <v>14.5</v>
      </c>
      <c r="AA23">
        <v>3.9</v>
      </c>
    </row>
    <row r="24" spans="1:27" x14ac:dyDescent="0.3">
      <c r="A24" s="1" t="s">
        <v>94</v>
      </c>
      <c r="B24" t="s">
        <v>28</v>
      </c>
      <c r="C24" t="s">
        <v>95</v>
      </c>
      <c r="D24" t="s">
        <v>96</v>
      </c>
      <c r="E24">
        <v>413</v>
      </c>
      <c r="F24">
        <v>29.81</v>
      </c>
      <c r="G24">
        <v>32.340000000000003</v>
      </c>
      <c r="H24">
        <v>0.36</v>
      </c>
      <c r="I24">
        <v>0.36</v>
      </c>
      <c r="J24">
        <v>0</v>
      </c>
      <c r="K24">
        <v>271</v>
      </c>
      <c r="L24">
        <v>8.1000000000000003E-2</v>
      </c>
      <c r="M24">
        <v>1.6</v>
      </c>
      <c r="N24">
        <v>0</v>
      </c>
      <c r="O24">
        <v>0.28000000000000003</v>
      </c>
      <c r="P24">
        <v>10</v>
      </c>
      <c r="Q24">
        <v>0.106</v>
      </c>
      <c r="R24">
        <v>0.27900000000000003</v>
      </c>
      <c r="S24">
        <v>0.06</v>
      </c>
      <c r="T24">
        <v>1011</v>
      </c>
      <c r="U24">
        <v>3.2000000000000001E-2</v>
      </c>
      <c r="V24">
        <v>0.17</v>
      </c>
      <c r="W24">
        <v>36</v>
      </c>
      <c r="X24">
        <v>1.7000000000000001E-2</v>
      </c>
      <c r="Y24">
        <v>605</v>
      </c>
      <c r="Z24">
        <v>14.5</v>
      </c>
      <c r="AA24">
        <v>3.9</v>
      </c>
    </row>
    <row r="25" spans="1:27" x14ac:dyDescent="0.3">
      <c r="A25" s="1" t="s">
        <v>97</v>
      </c>
      <c r="B25" t="s">
        <v>28</v>
      </c>
      <c r="C25" t="s">
        <v>98</v>
      </c>
      <c r="D25" t="s">
        <v>99</v>
      </c>
      <c r="E25">
        <v>327</v>
      </c>
      <c r="F25">
        <v>20.05</v>
      </c>
      <c r="G25">
        <v>27.25</v>
      </c>
      <c r="H25">
        <v>0.49</v>
      </c>
      <c r="I25">
        <v>0.49</v>
      </c>
      <c r="J25">
        <v>0</v>
      </c>
      <c r="K25">
        <v>340</v>
      </c>
      <c r="L25">
        <v>8.5999999999999993E-2</v>
      </c>
      <c r="M25">
        <v>1.04</v>
      </c>
      <c r="N25">
        <v>0</v>
      </c>
      <c r="O25">
        <v>0.23</v>
      </c>
      <c r="P25">
        <v>58</v>
      </c>
      <c r="Q25">
        <v>0.158</v>
      </c>
      <c r="R25">
        <v>0.503</v>
      </c>
      <c r="S25">
        <v>0.08</v>
      </c>
      <c r="T25">
        <v>497</v>
      </c>
      <c r="U25">
        <v>2.1000000000000001E-2</v>
      </c>
      <c r="V25">
        <v>0.13</v>
      </c>
      <c r="W25">
        <v>21</v>
      </c>
      <c r="X25">
        <v>3.7999999999999999E-2</v>
      </c>
      <c r="Y25">
        <v>393</v>
      </c>
      <c r="Z25">
        <v>14.5</v>
      </c>
      <c r="AA25">
        <v>2.1</v>
      </c>
    </row>
    <row r="26" spans="1:27" x14ac:dyDescent="0.3">
      <c r="A26" s="1" t="s">
        <v>100</v>
      </c>
      <c r="B26" t="s">
        <v>28</v>
      </c>
      <c r="C26" t="s">
        <v>101</v>
      </c>
      <c r="D26" t="s">
        <v>102</v>
      </c>
      <c r="E26">
        <v>373</v>
      </c>
      <c r="F26">
        <v>24.48</v>
      </c>
      <c r="G26">
        <v>30.28</v>
      </c>
      <c r="H26">
        <v>0.68</v>
      </c>
      <c r="I26">
        <v>0.5</v>
      </c>
      <c r="J26">
        <v>0</v>
      </c>
      <c r="K26">
        <v>198</v>
      </c>
      <c r="L26">
        <v>7.9000000000000001E-2</v>
      </c>
      <c r="M26">
        <v>0.83</v>
      </c>
      <c r="N26">
        <v>0</v>
      </c>
      <c r="O26">
        <v>0.26</v>
      </c>
      <c r="P26">
        <v>18</v>
      </c>
      <c r="Q26">
        <v>9.2999999999999999E-2</v>
      </c>
      <c r="R26">
        <v>0.39</v>
      </c>
      <c r="S26">
        <v>1.4999999999999999E-2</v>
      </c>
      <c r="T26">
        <v>746</v>
      </c>
      <c r="U26">
        <v>3.2000000000000001E-2</v>
      </c>
      <c r="V26">
        <v>0.72</v>
      </c>
      <c r="W26">
        <v>27</v>
      </c>
      <c r="X26">
        <v>1.0999999999999999E-2</v>
      </c>
      <c r="Y26">
        <v>444</v>
      </c>
      <c r="Z26">
        <v>14.5</v>
      </c>
      <c r="AA26">
        <v>3</v>
      </c>
    </row>
    <row r="27" spans="1:27" x14ac:dyDescent="0.3">
      <c r="A27" s="1" t="s">
        <v>103</v>
      </c>
      <c r="B27" t="s">
        <v>28</v>
      </c>
      <c r="C27" t="s">
        <v>104</v>
      </c>
      <c r="D27" t="s">
        <v>105</v>
      </c>
      <c r="E27">
        <v>300</v>
      </c>
      <c r="F27">
        <v>22.17</v>
      </c>
      <c r="G27">
        <v>22.35</v>
      </c>
      <c r="H27">
        <v>2.19</v>
      </c>
      <c r="I27">
        <v>1.03</v>
      </c>
      <c r="J27">
        <v>0</v>
      </c>
      <c r="K27">
        <v>179</v>
      </c>
      <c r="L27">
        <v>3.6999999999999998E-2</v>
      </c>
      <c r="M27">
        <v>2.2799999999999998</v>
      </c>
      <c r="N27">
        <v>0</v>
      </c>
      <c r="O27">
        <v>0.19</v>
      </c>
      <c r="P27">
        <v>7</v>
      </c>
      <c r="Q27">
        <v>0.104</v>
      </c>
      <c r="R27">
        <v>0.28299999999999997</v>
      </c>
      <c r="S27">
        <v>0.03</v>
      </c>
      <c r="T27">
        <v>505</v>
      </c>
      <c r="U27">
        <v>1.0999999999999999E-2</v>
      </c>
      <c r="V27">
        <v>0.44</v>
      </c>
      <c r="W27">
        <v>20</v>
      </c>
      <c r="X27">
        <v>0.03</v>
      </c>
      <c r="Y27">
        <v>354</v>
      </c>
      <c r="Z27">
        <v>17</v>
      </c>
      <c r="AA27">
        <v>2.92</v>
      </c>
    </row>
    <row r="28" spans="1:27" x14ac:dyDescent="0.3">
      <c r="A28" s="1" t="s">
        <v>106</v>
      </c>
      <c r="B28" t="s">
        <v>28</v>
      </c>
      <c r="C28" t="s">
        <v>107</v>
      </c>
      <c r="D28" t="s">
        <v>108</v>
      </c>
      <c r="E28">
        <v>318</v>
      </c>
      <c r="F28">
        <v>21.6</v>
      </c>
      <c r="G28">
        <v>24.64</v>
      </c>
      <c r="H28">
        <v>2.4700000000000002</v>
      </c>
      <c r="I28">
        <v>1.01</v>
      </c>
      <c r="J28">
        <v>0</v>
      </c>
      <c r="K28">
        <v>197</v>
      </c>
      <c r="L28">
        <v>6.2E-2</v>
      </c>
      <c r="M28">
        <v>0.73</v>
      </c>
      <c r="N28">
        <v>0</v>
      </c>
      <c r="O28">
        <v>0.21</v>
      </c>
      <c r="P28">
        <v>8</v>
      </c>
      <c r="Q28">
        <v>9.4E-2</v>
      </c>
      <c r="R28">
        <v>0.27</v>
      </c>
      <c r="S28">
        <v>1.6E-2</v>
      </c>
      <c r="T28">
        <v>575</v>
      </c>
      <c r="U28">
        <v>2.1999999999999999E-2</v>
      </c>
      <c r="V28">
        <v>0.2</v>
      </c>
      <c r="W28">
        <v>21</v>
      </c>
      <c r="X28">
        <v>8.9999999999999993E-3</v>
      </c>
      <c r="Y28">
        <v>412</v>
      </c>
      <c r="Z28">
        <v>16.100000000000001</v>
      </c>
      <c r="AA28">
        <v>2.46</v>
      </c>
    </row>
    <row r="29" spans="1:27" x14ac:dyDescent="0.3">
      <c r="A29" s="1" t="s">
        <v>109</v>
      </c>
      <c r="B29" t="s">
        <v>28</v>
      </c>
      <c r="C29" t="s">
        <v>110</v>
      </c>
      <c r="D29" t="s">
        <v>111</v>
      </c>
      <c r="E29">
        <v>254</v>
      </c>
      <c r="F29">
        <v>24.26</v>
      </c>
      <c r="G29">
        <v>15.92</v>
      </c>
      <c r="H29">
        <v>2.77</v>
      </c>
      <c r="I29">
        <v>1.1299999999999999</v>
      </c>
      <c r="J29">
        <v>0</v>
      </c>
      <c r="K29">
        <v>127</v>
      </c>
      <c r="L29">
        <v>7.0000000000000007E-2</v>
      </c>
      <c r="M29">
        <v>0.82</v>
      </c>
      <c r="N29">
        <v>0</v>
      </c>
      <c r="O29">
        <v>0.14000000000000001</v>
      </c>
      <c r="P29">
        <v>9</v>
      </c>
      <c r="Q29">
        <v>0.105</v>
      </c>
      <c r="R29">
        <v>0.30299999999999999</v>
      </c>
      <c r="S29">
        <v>1.7999999999999999E-2</v>
      </c>
      <c r="T29">
        <v>782</v>
      </c>
      <c r="U29">
        <v>2.5000000000000001E-2</v>
      </c>
      <c r="V29">
        <v>0.22</v>
      </c>
      <c r="W29">
        <v>23</v>
      </c>
      <c r="X29">
        <v>0.01</v>
      </c>
      <c r="Y29">
        <v>463</v>
      </c>
      <c r="Z29">
        <v>14.4</v>
      </c>
      <c r="AA29">
        <v>2.76</v>
      </c>
    </row>
    <row r="30" spans="1:27" x14ac:dyDescent="0.3">
      <c r="A30" s="1" t="s">
        <v>112</v>
      </c>
      <c r="B30" t="s">
        <v>28</v>
      </c>
      <c r="C30" t="s">
        <v>113</v>
      </c>
      <c r="D30" t="s">
        <v>114</v>
      </c>
      <c r="E30">
        <v>301</v>
      </c>
      <c r="F30">
        <v>24.58</v>
      </c>
      <c r="G30">
        <v>19.72</v>
      </c>
      <c r="H30">
        <v>6.36</v>
      </c>
      <c r="I30">
        <v>2.2400000000000002</v>
      </c>
      <c r="J30">
        <v>0</v>
      </c>
      <c r="K30">
        <v>254</v>
      </c>
      <c r="L30">
        <v>0.111</v>
      </c>
      <c r="M30">
        <v>1.82</v>
      </c>
      <c r="N30">
        <v>0</v>
      </c>
      <c r="O30">
        <v>0.43</v>
      </c>
      <c r="P30">
        <v>27</v>
      </c>
      <c r="Q30">
        <v>0.14399999999999999</v>
      </c>
      <c r="R30">
        <v>0.34799999999999998</v>
      </c>
      <c r="S30">
        <v>5.8999999999999997E-2</v>
      </c>
      <c r="T30">
        <v>716</v>
      </c>
      <c r="U30">
        <v>3.4000000000000002E-2</v>
      </c>
      <c r="V30">
        <v>0.23</v>
      </c>
      <c r="W30">
        <v>29</v>
      </c>
      <c r="X30">
        <v>4.1000000000000002E-2</v>
      </c>
      <c r="Y30">
        <v>537</v>
      </c>
      <c r="Z30">
        <v>26.8</v>
      </c>
      <c r="AA30">
        <v>3.61</v>
      </c>
    </row>
    <row r="31" spans="1:27" x14ac:dyDescent="0.3">
      <c r="A31" s="1" t="s">
        <v>115</v>
      </c>
      <c r="B31" t="s">
        <v>28</v>
      </c>
      <c r="C31" t="s">
        <v>116</v>
      </c>
      <c r="D31" t="s">
        <v>117</v>
      </c>
      <c r="E31">
        <v>368</v>
      </c>
      <c r="F31">
        <v>23.41</v>
      </c>
      <c r="G31">
        <v>30.04</v>
      </c>
      <c r="H31">
        <v>1.1200000000000001</v>
      </c>
      <c r="I31">
        <v>1.1200000000000001</v>
      </c>
      <c r="J31">
        <v>0</v>
      </c>
      <c r="K31">
        <v>298</v>
      </c>
      <c r="L31">
        <v>5.6000000000000001E-2</v>
      </c>
      <c r="M31">
        <v>1.47</v>
      </c>
      <c r="N31">
        <v>0</v>
      </c>
      <c r="O31">
        <v>0.26</v>
      </c>
      <c r="P31">
        <v>12</v>
      </c>
      <c r="Q31">
        <v>0.10299999999999999</v>
      </c>
      <c r="R31">
        <v>0.32</v>
      </c>
      <c r="S31">
        <v>1.2999999999999999E-2</v>
      </c>
      <c r="T31">
        <v>717</v>
      </c>
      <c r="U31">
        <v>3.1E-2</v>
      </c>
      <c r="V31">
        <v>0.41</v>
      </c>
      <c r="W31">
        <v>27</v>
      </c>
      <c r="X31">
        <v>8.0000000000000002E-3</v>
      </c>
      <c r="Y31">
        <v>468</v>
      </c>
      <c r="Z31">
        <v>14.5</v>
      </c>
      <c r="AA31">
        <v>2.81</v>
      </c>
    </row>
    <row r="32" spans="1:27" x14ac:dyDescent="0.3">
      <c r="A32" s="1" t="s">
        <v>118</v>
      </c>
      <c r="B32" t="s">
        <v>28</v>
      </c>
      <c r="C32" t="s">
        <v>119</v>
      </c>
      <c r="D32" t="s">
        <v>120</v>
      </c>
      <c r="E32">
        <v>253</v>
      </c>
      <c r="F32">
        <v>9.15</v>
      </c>
      <c r="G32">
        <v>22.78</v>
      </c>
      <c r="H32">
        <v>3.59</v>
      </c>
      <c r="I32">
        <v>3.19</v>
      </c>
      <c r="J32">
        <v>0</v>
      </c>
      <c r="K32">
        <v>241</v>
      </c>
      <c r="L32">
        <v>4.1000000000000002E-2</v>
      </c>
      <c r="M32">
        <v>0.3</v>
      </c>
      <c r="N32">
        <v>0</v>
      </c>
      <c r="O32">
        <v>0.4</v>
      </c>
      <c r="P32">
        <v>14</v>
      </c>
      <c r="Q32">
        <v>0.21</v>
      </c>
      <c r="R32">
        <v>0.155</v>
      </c>
      <c r="S32">
        <v>2.1999999999999999E-2</v>
      </c>
      <c r="T32">
        <v>117</v>
      </c>
      <c r="U32">
        <v>2.7E-2</v>
      </c>
      <c r="V32">
        <v>0.13</v>
      </c>
      <c r="W32">
        <v>10</v>
      </c>
      <c r="X32">
        <v>1.0999999999999999E-2</v>
      </c>
      <c r="Y32">
        <v>138</v>
      </c>
      <c r="Z32">
        <v>3</v>
      </c>
      <c r="AA32">
        <v>0.82</v>
      </c>
    </row>
    <row r="33" spans="1:27" x14ac:dyDescent="0.3">
      <c r="A33" s="1" t="s">
        <v>121</v>
      </c>
      <c r="B33" t="s">
        <v>28</v>
      </c>
      <c r="C33" t="s">
        <v>122</v>
      </c>
      <c r="D33" t="s">
        <v>123</v>
      </c>
      <c r="E33">
        <v>420</v>
      </c>
      <c r="F33">
        <v>28.42</v>
      </c>
      <c r="G33">
        <v>27.84</v>
      </c>
      <c r="H33">
        <v>13.91</v>
      </c>
      <c r="I33">
        <v>7.0000000000000007E-2</v>
      </c>
      <c r="J33">
        <v>0</v>
      </c>
      <c r="K33">
        <v>262</v>
      </c>
      <c r="L33">
        <v>8.1000000000000003E-2</v>
      </c>
      <c r="M33">
        <v>1.4</v>
      </c>
      <c r="N33">
        <v>0</v>
      </c>
      <c r="O33">
        <v>0.53</v>
      </c>
      <c r="P33">
        <v>6</v>
      </c>
      <c r="Q33">
        <v>0.08</v>
      </c>
      <c r="R33">
        <v>0.35799999999999998</v>
      </c>
      <c r="S33">
        <v>2.5999999999999999E-2</v>
      </c>
      <c r="T33">
        <v>853</v>
      </c>
      <c r="U33">
        <v>0.04</v>
      </c>
      <c r="V33">
        <v>0.49</v>
      </c>
      <c r="W33">
        <v>34</v>
      </c>
      <c r="X33">
        <v>7.0999999999999994E-2</v>
      </c>
      <c r="Y33">
        <v>627</v>
      </c>
      <c r="Z33">
        <v>34.4</v>
      </c>
      <c r="AA33">
        <v>4.2</v>
      </c>
    </row>
    <row r="34" spans="1:27" x14ac:dyDescent="0.3">
      <c r="A34" s="1" t="s">
        <v>124</v>
      </c>
      <c r="B34" t="s">
        <v>28</v>
      </c>
      <c r="C34" t="s">
        <v>125</v>
      </c>
      <c r="D34" t="s">
        <v>126</v>
      </c>
      <c r="E34">
        <v>392</v>
      </c>
      <c r="F34">
        <v>35.75</v>
      </c>
      <c r="G34">
        <v>25.83</v>
      </c>
      <c r="H34">
        <v>3.22</v>
      </c>
      <c r="I34">
        <v>0.8</v>
      </c>
      <c r="J34">
        <v>0</v>
      </c>
      <c r="K34">
        <v>207</v>
      </c>
      <c r="L34">
        <v>9.0999999999999998E-2</v>
      </c>
      <c r="M34">
        <v>1.2</v>
      </c>
      <c r="N34">
        <v>0</v>
      </c>
      <c r="O34">
        <v>0.22</v>
      </c>
      <c r="P34">
        <v>7</v>
      </c>
      <c r="Q34">
        <v>0.27100000000000002</v>
      </c>
      <c r="R34">
        <v>0.33200000000000002</v>
      </c>
      <c r="S34">
        <v>3.9E-2</v>
      </c>
      <c r="T34">
        <v>1184</v>
      </c>
      <c r="U34">
        <v>3.2000000000000001E-2</v>
      </c>
      <c r="V34">
        <v>0.82</v>
      </c>
      <c r="W34">
        <v>44</v>
      </c>
      <c r="X34">
        <v>0.02</v>
      </c>
      <c r="Y34">
        <v>694</v>
      </c>
      <c r="Z34">
        <v>22.5</v>
      </c>
      <c r="AA34">
        <v>2.75</v>
      </c>
    </row>
    <row r="35" spans="1:27" x14ac:dyDescent="0.3">
      <c r="A35" s="1" t="s">
        <v>127</v>
      </c>
      <c r="B35" t="s">
        <v>28</v>
      </c>
      <c r="C35" t="s">
        <v>128</v>
      </c>
      <c r="D35" t="s">
        <v>129</v>
      </c>
      <c r="E35">
        <v>352</v>
      </c>
      <c r="F35">
        <v>23.78</v>
      </c>
      <c r="G35">
        <v>28.2</v>
      </c>
      <c r="H35">
        <v>0.56999999999999995</v>
      </c>
      <c r="I35">
        <v>0.56999999999999995</v>
      </c>
      <c r="J35">
        <v>0</v>
      </c>
      <c r="K35">
        <v>315</v>
      </c>
      <c r="L35">
        <v>5.2999999999999999E-2</v>
      </c>
      <c r="M35">
        <v>1.5</v>
      </c>
      <c r="N35">
        <v>0</v>
      </c>
      <c r="O35">
        <v>0.24</v>
      </c>
      <c r="P35">
        <v>18</v>
      </c>
      <c r="Q35">
        <v>0.06</v>
      </c>
      <c r="R35">
        <v>0.24</v>
      </c>
      <c r="S35">
        <v>1.4E-2</v>
      </c>
      <c r="T35">
        <v>650</v>
      </c>
      <c r="U35">
        <v>2.1999999999999999E-2</v>
      </c>
      <c r="V35">
        <v>0.43</v>
      </c>
      <c r="W35">
        <v>24</v>
      </c>
      <c r="X35">
        <v>1.0999999999999999E-2</v>
      </c>
      <c r="Y35">
        <v>360</v>
      </c>
      <c r="Z35">
        <v>14.5</v>
      </c>
      <c r="AA35">
        <v>2.6</v>
      </c>
    </row>
    <row r="36" spans="1:27" x14ac:dyDescent="0.3">
      <c r="A36" s="1" t="s">
        <v>130</v>
      </c>
      <c r="B36" t="s">
        <v>28</v>
      </c>
      <c r="C36" t="s">
        <v>131</v>
      </c>
      <c r="D36" t="s">
        <v>132</v>
      </c>
      <c r="E36">
        <v>351</v>
      </c>
      <c r="F36">
        <v>25.58</v>
      </c>
      <c r="G36">
        <v>26.62</v>
      </c>
      <c r="H36">
        <v>2.14</v>
      </c>
      <c r="I36">
        <v>0.56000000000000005</v>
      </c>
      <c r="J36">
        <v>0</v>
      </c>
      <c r="K36">
        <v>236</v>
      </c>
      <c r="L36">
        <v>7.2999999999999995E-2</v>
      </c>
      <c r="M36">
        <v>1.46</v>
      </c>
      <c r="N36">
        <v>0</v>
      </c>
      <c r="O36">
        <v>0.23</v>
      </c>
      <c r="P36">
        <v>10</v>
      </c>
      <c r="Q36">
        <v>0.156</v>
      </c>
      <c r="R36">
        <v>0.32100000000000001</v>
      </c>
      <c r="S36">
        <v>1.9E-2</v>
      </c>
      <c r="T36">
        <v>756</v>
      </c>
      <c r="U36">
        <v>2.5999999999999999E-2</v>
      </c>
      <c r="V36">
        <v>0.52</v>
      </c>
      <c r="W36">
        <v>28</v>
      </c>
      <c r="X36">
        <v>0.01</v>
      </c>
      <c r="Y36">
        <v>496</v>
      </c>
      <c r="Z36">
        <v>14.5</v>
      </c>
      <c r="AA36">
        <v>3.23</v>
      </c>
    </row>
    <row r="37" spans="1:27" x14ac:dyDescent="0.3">
      <c r="A37" s="1" t="s">
        <v>133</v>
      </c>
      <c r="B37" t="s">
        <v>28</v>
      </c>
      <c r="C37" t="s">
        <v>134</v>
      </c>
      <c r="D37" t="s">
        <v>135</v>
      </c>
      <c r="E37">
        <v>174</v>
      </c>
      <c r="F37">
        <v>11.26</v>
      </c>
      <c r="G37">
        <v>12.98</v>
      </c>
      <c r="H37">
        <v>3.04</v>
      </c>
      <c r="I37">
        <v>0.27</v>
      </c>
      <c r="J37">
        <v>0</v>
      </c>
      <c r="K37">
        <v>120</v>
      </c>
      <c r="L37">
        <v>4.2999999999999997E-2</v>
      </c>
      <c r="M37">
        <v>0.34</v>
      </c>
      <c r="N37">
        <v>0</v>
      </c>
      <c r="O37">
        <v>0.11</v>
      </c>
      <c r="P37">
        <v>12</v>
      </c>
      <c r="Q37">
        <v>0.104</v>
      </c>
      <c r="R37">
        <v>0.19500000000000001</v>
      </c>
      <c r="S37">
        <v>1.2999999999999999E-2</v>
      </c>
      <c r="T37">
        <v>207</v>
      </c>
      <c r="U37">
        <v>2.1000000000000001E-2</v>
      </c>
      <c r="V37">
        <v>0.38</v>
      </c>
      <c r="W37">
        <v>11</v>
      </c>
      <c r="X37">
        <v>6.0000000000000001E-3</v>
      </c>
      <c r="Y37">
        <v>158</v>
      </c>
      <c r="Z37">
        <v>14.5</v>
      </c>
      <c r="AA37">
        <v>1.1599999999999999</v>
      </c>
    </row>
    <row r="38" spans="1:27" x14ac:dyDescent="0.3">
      <c r="A38" s="1" t="s">
        <v>136</v>
      </c>
      <c r="B38" t="s">
        <v>28</v>
      </c>
      <c r="C38" t="s">
        <v>137</v>
      </c>
      <c r="D38" t="s">
        <v>138</v>
      </c>
      <c r="E38">
        <v>138</v>
      </c>
      <c r="F38">
        <v>11.39</v>
      </c>
      <c r="G38">
        <v>7.91</v>
      </c>
      <c r="H38">
        <v>5.14</v>
      </c>
      <c r="I38">
        <v>0.31</v>
      </c>
      <c r="J38">
        <v>0</v>
      </c>
      <c r="K38">
        <v>107</v>
      </c>
      <c r="L38">
        <v>0.02</v>
      </c>
      <c r="M38">
        <v>0.28999999999999998</v>
      </c>
      <c r="N38">
        <v>0</v>
      </c>
      <c r="O38">
        <v>7.0000000000000007E-2</v>
      </c>
      <c r="P38">
        <v>13</v>
      </c>
      <c r="Q38">
        <v>7.8E-2</v>
      </c>
      <c r="R38">
        <v>0.185</v>
      </c>
      <c r="S38">
        <v>2.1000000000000001E-2</v>
      </c>
      <c r="T38">
        <v>272</v>
      </c>
      <c r="U38">
        <v>3.4000000000000002E-2</v>
      </c>
      <c r="V38">
        <v>0.44</v>
      </c>
      <c r="W38">
        <v>15</v>
      </c>
      <c r="X38">
        <v>0.01</v>
      </c>
      <c r="Y38">
        <v>183</v>
      </c>
      <c r="Z38">
        <v>16.7</v>
      </c>
      <c r="AA38">
        <v>1.34</v>
      </c>
    </row>
    <row r="39" spans="1:27" x14ac:dyDescent="0.3">
      <c r="A39" s="1" t="s">
        <v>139</v>
      </c>
      <c r="B39" t="s">
        <v>28</v>
      </c>
      <c r="C39" t="s">
        <v>140</v>
      </c>
      <c r="D39" t="s">
        <v>141</v>
      </c>
      <c r="E39">
        <v>387</v>
      </c>
      <c r="F39">
        <v>31.8</v>
      </c>
      <c r="G39">
        <v>26.94</v>
      </c>
      <c r="H39">
        <v>3.63</v>
      </c>
      <c r="I39">
        <v>0.73</v>
      </c>
      <c r="J39">
        <v>0</v>
      </c>
      <c r="K39">
        <v>96</v>
      </c>
      <c r="L39">
        <v>8.5000000000000006E-2</v>
      </c>
      <c r="M39">
        <v>1.1200000000000001</v>
      </c>
      <c r="N39">
        <v>0</v>
      </c>
      <c r="O39">
        <v>0.23</v>
      </c>
      <c r="P39">
        <v>7</v>
      </c>
      <c r="Q39">
        <v>7.6999999999999999E-2</v>
      </c>
      <c r="R39">
        <v>0.37</v>
      </c>
      <c r="S39">
        <v>3.6999999999999998E-2</v>
      </c>
      <c r="T39">
        <v>1064</v>
      </c>
      <c r="U39">
        <v>0.03</v>
      </c>
      <c r="V39">
        <v>0.77</v>
      </c>
      <c r="W39">
        <v>41</v>
      </c>
      <c r="X39">
        <v>0.02</v>
      </c>
      <c r="Y39">
        <v>760</v>
      </c>
      <c r="Z39">
        <v>14.5</v>
      </c>
      <c r="AA39">
        <v>2.58</v>
      </c>
    </row>
    <row r="40" spans="1:27" x14ac:dyDescent="0.3">
      <c r="A40" s="1" t="s">
        <v>142</v>
      </c>
      <c r="B40" t="s">
        <v>28</v>
      </c>
      <c r="C40" t="s">
        <v>143</v>
      </c>
      <c r="D40" t="s">
        <v>144</v>
      </c>
      <c r="E40">
        <v>369</v>
      </c>
      <c r="F40">
        <v>21.54</v>
      </c>
      <c r="G40">
        <v>30.64</v>
      </c>
      <c r="H40">
        <v>2</v>
      </c>
      <c r="I40">
        <v>0</v>
      </c>
      <c r="J40">
        <v>0</v>
      </c>
      <c r="K40">
        <v>294</v>
      </c>
      <c r="L40">
        <v>0.124</v>
      </c>
      <c r="M40">
        <v>0.64</v>
      </c>
      <c r="N40">
        <v>0</v>
      </c>
      <c r="O40">
        <v>0</v>
      </c>
      <c r="P40">
        <v>49</v>
      </c>
      <c r="Q40">
        <v>0.73399999999999999</v>
      </c>
      <c r="R40">
        <v>0.58599999999999997</v>
      </c>
      <c r="S40">
        <v>0.04</v>
      </c>
      <c r="T40">
        <v>662</v>
      </c>
      <c r="U40">
        <v>3.4000000000000002E-2</v>
      </c>
      <c r="V40">
        <v>0.56000000000000005</v>
      </c>
      <c r="W40">
        <v>30</v>
      </c>
      <c r="X40">
        <v>0.03</v>
      </c>
      <c r="Y40">
        <v>392</v>
      </c>
      <c r="Z40">
        <v>14.5</v>
      </c>
      <c r="AA40">
        <v>2.08</v>
      </c>
    </row>
    <row r="41" spans="1:27" x14ac:dyDescent="0.3">
      <c r="A41" s="1" t="s">
        <v>145</v>
      </c>
      <c r="B41" t="s">
        <v>28</v>
      </c>
      <c r="C41" t="s">
        <v>146</v>
      </c>
      <c r="D41" t="s">
        <v>147</v>
      </c>
      <c r="E41">
        <v>380</v>
      </c>
      <c r="F41">
        <v>26.93</v>
      </c>
      <c r="G41">
        <v>27.8</v>
      </c>
      <c r="H41">
        <v>5.38</v>
      </c>
      <c r="I41">
        <v>1.32</v>
      </c>
      <c r="J41">
        <v>0</v>
      </c>
      <c r="K41">
        <v>220</v>
      </c>
      <c r="L41">
        <v>8.3000000000000004E-2</v>
      </c>
      <c r="M41">
        <v>3.34</v>
      </c>
      <c r="N41">
        <v>0</v>
      </c>
      <c r="O41">
        <v>0.38</v>
      </c>
      <c r="P41">
        <v>6</v>
      </c>
      <c r="Q41">
        <v>9.1999999999999998E-2</v>
      </c>
      <c r="R41">
        <v>0.29599999999999999</v>
      </c>
      <c r="S41">
        <v>6.3E-2</v>
      </c>
      <c r="T41">
        <v>791</v>
      </c>
      <c r="U41">
        <v>4.2999999999999997E-2</v>
      </c>
      <c r="V41">
        <v>0.2</v>
      </c>
      <c r="W41">
        <v>38</v>
      </c>
      <c r="X41">
        <v>5.0000000000000001E-3</v>
      </c>
      <c r="Y41">
        <v>567</v>
      </c>
      <c r="Z41">
        <v>18.2</v>
      </c>
      <c r="AA41">
        <v>4.3600000000000003</v>
      </c>
    </row>
    <row r="42" spans="1:27" x14ac:dyDescent="0.3">
      <c r="A42" s="1" t="s">
        <v>148</v>
      </c>
      <c r="B42" t="s">
        <v>28</v>
      </c>
      <c r="C42" t="s">
        <v>149</v>
      </c>
      <c r="D42" t="s">
        <v>150</v>
      </c>
      <c r="E42">
        <v>340</v>
      </c>
      <c r="F42">
        <v>24.41</v>
      </c>
      <c r="G42">
        <v>25.98</v>
      </c>
      <c r="H42">
        <v>1.88</v>
      </c>
      <c r="I42">
        <v>0</v>
      </c>
      <c r="J42">
        <v>0</v>
      </c>
      <c r="K42">
        <v>249</v>
      </c>
      <c r="L42">
        <v>6.5000000000000002E-2</v>
      </c>
      <c r="M42">
        <v>2.1</v>
      </c>
      <c r="N42">
        <v>0</v>
      </c>
      <c r="O42">
        <v>0</v>
      </c>
      <c r="P42">
        <v>20</v>
      </c>
      <c r="Q42">
        <v>0.20499999999999999</v>
      </c>
      <c r="R42">
        <v>0.35899999999999999</v>
      </c>
      <c r="S42">
        <v>6.0999999999999999E-2</v>
      </c>
      <c r="T42">
        <v>700</v>
      </c>
      <c r="U42">
        <v>2.5999999999999999E-2</v>
      </c>
      <c r="V42">
        <v>0.23</v>
      </c>
      <c r="W42">
        <v>13</v>
      </c>
      <c r="X42">
        <v>1.2999999999999999E-2</v>
      </c>
      <c r="Y42">
        <v>500</v>
      </c>
      <c r="Z42">
        <v>14.5</v>
      </c>
      <c r="AA42">
        <v>3.5</v>
      </c>
    </row>
    <row r="43" spans="1:27" x14ac:dyDescent="0.3">
      <c r="A43" s="1" t="s">
        <v>151</v>
      </c>
      <c r="B43" t="s">
        <v>28</v>
      </c>
      <c r="C43" t="s">
        <v>152</v>
      </c>
      <c r="D43" t="s">
        <v>153</v>
      </c>
      <c r="E43">
        <v>366</v>
      </c>
      <c r="F43">
        <v>18.13</v>
      </c>
      <c r="G43">
        <v>30.71</v>
      </c>
      <c r="H43">
        <v>4.78</v>
      </c>
      <c r="I43">
        <v>2.2599999999999998</v>
      </c>
      <c r="J43">
        <v>0</v>
      </c>
      <c r="K43">
        <v>317</v>
      </c>
      <c r="L43">
        <v>5.3999999999999999E-2</v>
      </c>
      <c r="M43">
        <v>1.5</v>
      </c>
      <c r="N43">
        <v>0</v>
      </c>
      <c r="O43">
        <v>0.8</v>
      </c>
      <c r="P43">
        <v>8</v>
      </c>
      <c r="Q43">
        <v>7.5999999999999998E-2</v>
      </c>
      <c r="R43">
        <v>0.23400000000000001</v>
      </c>
      <c r="S43">
        <v>1.4999999999999999E-2</v>
      </c>
      <c r="T43">
        <v>1045</v>
      </c>
      <c r="U43">
        <v>4.5999999999999999E-2</v>
      </c>
      <c r="V43">
        <v>0.63</v>
      </c>
      <c r="W43">
        <v>26</v>
      </c>
      <c r="X43">
        <v>4.1000000000000002E-2</v>
      </c>
      <c r="Y43">
        <v>641</v>
      </c>
      <c r="Z43">
        <v>20.2</v>
      </c>
      <c r="AA43">
        <v>2.4900000000000002</v>
      </c>
    </row>
    <row r="44" spans="1:27" x14ac:dyDescent="0.3">
      <c r="A44" s="1" t="s">
        <v>154</v>
      </c>
      <c r="B44" t="s">
        <v>28</v>
      </c>
      <c r="C44" t="s">
        <v>155</v>
      </c>
      <c r="D44" t="s">
        <v>156</v>
      </c>
      <c r="E44">
        <v>375</v>
      </c>
      <c r="F44">
        <v>22.13</v>
      </c>
      <c r="G44">
        <v>31.2</v>
      </c>
      <c r="H44">
        <v>1.73</v>
      </c>
      <c r="I44">
        <v>0.62</v>
      </c>
      <c r="J44">
        <v>0.1</v>
      </c>
      <c r="K44">
        <v>244</v>
      </c>
      <c r="L44">
        <v>7.0999999999999994E-2</v>
      </c>
      <c r="M44">
        <v>0.7</v>
      </c>
      <c r="N44">
        <v>2.2999999999999998</v>
      </c>
      <c r="O44">
        <v>0.28999999999999998</v>
      </c>
      <c r="P44">
        <v>8</v>
      </c>
      <c r="Q44">
        <v>7.8E-2</v>
      </c>
      <c r="R44">
        <v>0.35399999999999998</v>
      </c>
      <c r="S44">
        <v>2.7E-2</v>
      </c>
      <c r="T44">
        <v>614</v>
      </c>
      <c r="U44">
        <v>3.3000000000000002E-2</v>
      </c>
      <c r="V44">
        <v>0.42</v>
      </c>
      <c r="W44">
        <v>22</v>
      </c>
      <c r="X44">
        <v>1.6E-2</v>
      </c>
      <c r="Y44">
        <v>744</v>
      </c>
      <c r="Z44">
        <v>14.5</v>
      </c>
      <c r="AA44">
        <v>2.98</v>
      </c>
    </row>
    <row r="45" spans="1:27" x14ac:dyDescent="0.3">
      <c r="A45" s="1" t="s">
        <v>157</v>
      </c>
      <c r="B45" t="s">
        <v>28</v>
      </c>
      <c r="C45" t="s">
        <v>158</v>
      </c>
      <c r="D45" t="s">
        <v>159</v>
      </c>
      <c r="E45">
        <v>334</v>
      </c>
      <c r="F45">
        <v>24.73</v>
      </c>
      <c r="G45">
        <v>25.01</v>
      </c>
      <c r="H45">
        <v>2.1</v>
      </c>
      <c r="I45">
        <v>1.23</v>
      </c>
      <c r="J45">
        <v>0</v>
      </c>
      <c r="K45">
        <v>198</v>
      </c>
      <c r="L45">
        <v>3.5999999999999997E-2</v>
      </c>
      <c r="M45">
        <v>1.23</v>
      </c>
      <c r="N45">
        <v>0</v>
      </c>
      <c r="O45">
        <v>0.34</v>
      </c>
      <c r="P45">
        <v>6</v>
      </c>
      <c r="Q45">
        <v>3.7999999999999999E-2</v>
      </c>
      <c r="R45">
        <v>0.27600000000000002</v>
      </c>
      <c r="S45">
        <v>1.4E-2</v>
      </c>
      <c r="T45">
        <v>772</v>
      </c>
      <c r="U45">
        <v>2.7E-2</v>
      </c>
      <c r="V45">
        <v>0.61</v>
      </c>
      <c r="W45">
        <v>29</v>
      </c>
      <c r="X45">
        <v>1.4E-2</v>
      </c>
      <c r="Y45">
        <v>762</v>
      </c>
      <c r="Z45">
        <v>15.9</v>
      </c>
      <c r="AA45">
        <v>3.61</v>
      </c>
    </row>
    <row r="46" spans="1:27" x14ac:dyDescent="0.3">
      <c r="A46" s="1" t="s">
        <v>160</v>
      </c>
      <c r="B46" t="s">
        <v>28</v>
      </c>
      <c r="C46" t="s">
        <v>161</v>
      </c>
      <c r="D46" t="s">
        <v>162</v>
      </c>
      <c r="E46">
        <v>331</v>
      </c>
      <c r="F46">
        <v>19.66</v>
      </c>
      <c r="G46">
        <v>24.46</v>
      </c>
      <c r="H46">
        <v>8.32</v>
      </c>
      <c r="I46">
        <v>0</v>
      </c>
      <c r="J46">
        <v>0</v>
      </c>
      <c r="K46">
        <v>0</v>
      </c>
      <c r="L46">
        <v>0.14099999999999999</v>
      </c>
      <c r="M46">
        <v>1.28</v>
      </c>
      <c r="N46">
        <v>0</v>
      </c>
      <c r="O46">
        <v>0</v>
      </c>
      <c r="P46">
        <v>5</v>
      </c>
      <c r="Q46">
        <v>7.3999999999999996E-2</v>
      </c>
      <c r="R46">
        <v>0.44600000000000001</v>
      </c>
      <c r="S46">
        <v>0.03</v>
      </c>
      <c r="T46">
        <v>497</v>
      </c>
      <c r="U46">
        <v>0.03</v>
      </c>
      <c r="V46">
        <v>0.84</v>
      </c>
      <c r="W46">
        <v>30</v>
      </c>
      <c r="X46">
        <v>0.01</v>
      </c>
      <c r="Y46">
        <v>400</v>
      </c>
      <c r="Z46">
        <v>16.2</v>
      </c>
      <c r="AA46">
        <v>3.01</v>
      </c>
    </row>
    <row r="47" spans="1:27" x14ac:dyDescent="0.3">
      <c r="A47" s="1" t="s">
        <v>163</v>
      </c>
      <c r="B47" t="s">
        <v>28</v>
      </c>
      <c r="C47" t="s">
        <v>164</v>
      </c>
      <c r="D47" t="s">
        <v>165</v>
      </c>
      <c r="E47">
        <v>330</v>
      </c>
      <c r="F47">
        <v>16.86</v>
      </c>
      <c r="G47">
        <v>25.63</v>
      </c>
      <c r="H47">
        <v>8.56</v>
      </c>
      <c r="I47">
        <v>5.59</v>
      </c>
      <c r="J47">
        <v>0</v>
      </c>
      <c r="K47">
        <v>201</v>
      </c>
      <c r="L47">
        <v>0.10199999999999999</v>
      </c>
      <c r="M47">
        <v>1.33</v>
      </c>
      <c r="N47">
        <v>0</v>
      </c>
      <c r="O47">
        <v>0.63</v>
      </c>
      <c r="P47">
        <v>7</v>
      </c>
      <c r="Q47">
        <v>0.155</v>
      </c>
      <c r="R47">
        <v>0.36</v>
      </c>
      <c r="S47">
        <v>3.5000000000000003E-2</v>
      </c>
      <c r="T47">
        <v>682</v>
      </c>
      <c r="U47">
        <v>3.4000000000000002E-2</v>
      </c>
      <c r="V47">
        <v>0.26</v>
      </c>
      <c r="W47">
        <v>27</v>
      </c>
      <c r="X47">
        <v>2.5000000000000001E-2</v>
      </c>
      <c r="Y47">
        <v>438</v>
      </c>
      <c r="Z47">
        <v>19.600000000000001</v>
      </c>
      <c r="AA47">
        <v>2.31</v>
      </c>
    </row>
    <row r="48" spans="1:27" x14ac:dyDescent="0.3">
      <c r="A48" s="1" t="s">
        <v>166</v>
      </c>
      <c r="B48" t="s">
        <v>28</v>
      </c>
      <c r="C48" t="s">
        <v>167</v>
      </c>
      <c r="D48" t="s">
        <v>168</v>
      </c>
      <c r="E48">
        <v>323</v>
      </c>
      <c r="F48">
        <v>21.92</v>
      </c>
      <c r="G48">
        <v>24.14</v>
      </c>
      <c r="H48">
        <v>4.5</v>
      </c>
      <c r="I48">
        <v>0</v>
      </c>
      <c r="J48">
        <v>0</v>
      </c>
      <c r="K48">
        <v>237</v>
      </c>
      <c r="L48">
        <v>3.5000000000000003E-2</v>
      </c>
      <c r="M48">
        <v>2.2999999999999998</v>
      </c>
      <c r="N48">
        <v>0</v>
      </c>
      <c r="O48">
        <v>0</v>
      </c>
      <c r="P48">
        <v>6</v>
      </c>
      <c r="Q48">
        <v>0.104</v>
      </c>
      <c r="R48">
        <v>0.4</v>
      </c>
      <c r="S48">
        <v>1.4E-2</v>
      </c>
      <c r="T48">
        <v>723</v>
      </c>
      <c r="U48">
        <v>0.03</v>
      </c>
      <c r="V48">
        <v>0.6</v>
      </c>
      <c r="W48">
        <v>28</v>
      </c>
      <c r="X48">
        <v>0.01</v>
      </c>
      <c r="Y48">
        <v>526</v>
      </c>
      <c r="Z48">
        <v>16.100000000000001</v>
      </c>
      <c r="AA48">
        <v>3.55</v>
      </c>
    </row>
    <row r="49" spans="1:27" x14ac:dyDescent="0.3">
      <c r="A49" s="1" t="s">
        <v>169</v>
      </c>
      <c r="B49" t="s">
        <v>28</v>
      </c>
      <c r="C49" t="s">
        <v>170</v>
      </c>
      <c r="D49" t="s">
        <v>171</v>
      </c>
      <c r="E49">
        <v>290</v>
      </c>
      <c r="F49">
        <v>16.41</v>
      </c>
      <c r="G49">
        <v>21.23</v>
      </c>
      <c r="H49">
        <v>8.73</v>
      </c>
      <c r="I49">
        <v>7.32</v>
      </c>
      <c r="J49">
        <v>0</v>
      </c>
      <c r="K49">
        <v>173</v>
      </c>
      <c r="L49">
        <v>0.11700000000000001</v>
      </c>
      <c r="M49">
        <v>0.4</v>
      </c>
      <c r="N49">
        <v>0</v>
      </c>
      <c r="O49">
        <v>0.19</v>
      </c>
      <c r="P49">
        <v>7</v>
      </c>
      <c r="Q49">
        <v>0.13100000000000001</v>
      </c>
      <c r="R49">
        <v>0.43099999999999999</v>
      </c>
      <c r="S49">
        <v>4.8000000000000001E-2</v>
      </c>
      <c r="T49">
        <v>562</v>
      </c>
      <c r="U49">
        <v>3.3000000000000002E-2</v>
      </c>
      <c r="V49">
        <v>0.33</v>
      </c>
      <c r="W49">
        <v>29</v>
      </c>
      <c r="X49">
        <v>0.02</v>
      </c>
      <c r="Y49">
        <v>875</v>
      </c>
      <c r="Z49">
        <v>11.3</v>
      </c>
      <c r="AA49">
        <v>2.59</v>
      </c>
    </row>
    <row r="50" spans="1:27" x14ac:dyDescent="0.3">
      <c r="A50" s="1" t="s">
        <v>172</v>
      </c>
      <c r="B50" t="s">
        <v>28</v>
      </c>
      <c r="C50" t="s">
        <v>173</v>
      </c>
      <c r="D50" t="s">
        <v>174</v>
      </c>
      <c r="E50">
        <v>130</v>
      </c>
      <c r="F50">
        <v>2.96</v>
      </c>
      <c r="G50">
        <v>11.5</v>
      </c>
      <c r="H50">
        <v>4.3</v>
      </c>
      <c r="I50">
        <v>4.3</v>
      </c>
      <c r="J50">
        <v>0</v>
      </c>
      <c r="K50">
        <v>97</v>
      </c>
      <c r="L50">
        <v>3.9E-2</v>
      </c>
      <c r="M50">
        <v>0.33</v>
      </c>
      <c r="N50">
        <v>0.9</v>
      </c>
      <c r="O50">
        <v>0.33</v>
      </c>
      <c r="P50">
        <v>3</v>
      </c>
      <c r="Q50">
        <v>7.8E-2</v>
      </c>
      <c r="R50">
        <v>0.14899999999999999</v>
      </c>
      <c r="S50">
        <v>3.5000000000000003E-2</v>
      </c>
      <c r="T50">
        <v>105</v>
      </c>
      <c r="U50">
        <v>0.01</v>
      </c>
      <c r="V50">
        <v>7.0000000000000007E-2</v>
      </c>
      <c r="W50">
        <v>10</v>
      </c>
      <c r="X50">
        <v>1E-3</v>
      </c>
      <c r="Y50">
        <v>95</v>
      </c>
      <c r="Z50">
        <v>1.8</v>
      </c>
      <c r="AA50">
        <v>0.51</v>
      </c>
    </row>
    <row r="51" spans="1:27" x14ac:dyDescent="0.3">
      <c r="A51" s="1" t="s">
        <v>175</v>
      </c>
      <c r="B51" t="s">
        <v>28</v>
      </c>
      <c r="C51" t="s">
        <v>176</v>
      </c>
      <c r="D51" t="s">
        <v>177</v>
      </c>
      <c r="E51">
        <v>195</v>
      </c>
      <c r="F51">
        <v>2.7</v>
      </c>
      <c r="G51">
        <v>19.309999999999999</v>
      </c>
      <c r="H51">
        <v>3.66</v>
      </c>
      <c r="I51">
        <v>3.66</v>
      </c>
      <c r="J51">
        <v>0</v>
      </c>
      <c r="K51">
        <v>181</v>
      </c>
      <c r="L51">
        <v>3.2000000000000001E-2</v>
      </c>
      <c r="M51">
        <v>0.22</v>
      </c>
      <c r="N51">
        <v>0.8</v>
      </c>
      <c r="O51">
        <v>0.55000000000000004</v>
      </c>
      <c r="P51">
        <v>2</v>
      </c>
      <c r="Q51">
        <v>5.7000000000000002E-2</v>
      </c>
      <c r="R51">
        <v>0.14799999999999999</v>
      </c>
      <c r="S51">
        <v>3.2000000000000001E-2</v>
      </c>
      <c r="T51">
        <v>96</v>
      </c>
      <c r="U51">
        <v>8.0000000000000002E-3</v>
      </c>
      <c r="V51">
        <v>0.04</v>
      </c>
      <c r="W51">
        <v>9</v>
      </c>
      <c r="X51">
        <v>1E-3</v>
      </c>
      <c r="Y51">
        <v>80</v>
      </c>
      <c r="Z51">
        <v>0.6</v>
      </c>
      <c r="AA51">
        <v>0.27</v>
      </c>
    </row>
    <row r="52" spans="1:27" x14ac:dyDescent="0.3">
      <c r="A52" s="1" t="s">
        <v>178</v>
      </c>
      <c r="B52" t="s">
        <v>28</v>
      </c>
      <c r="C52" t="s">
        <v>179</v>
      </c>
      <c r="D52" t="s">
        <v>180</v>
      </c>
      <c r="E52">
        <v>292</v>
      </c>
      <c r="F52">
        <v>2.17</v>
      </c>
      <c r="G52">
        <v>30.91</v>
      </c>
      <c r="H52">
        <v>2.96</v>
      </c>
      <c r="I52">
        <v>2.96</v>
      </c>
      <c r="J52">
        <v>0</v>
      </c>
      <c r="K52">
        <v>279</v>
      </c>
      <c r="L52">
        <v>2.8000000000000001E-2</v>
      </c>
      <c r="M52">
        <v>0.2</v>
      </c>
      <c r="N52">
        <v>0.6</v>
      </c>
      <c r="O52">
        <v>0.88</v>
      </c>
      <c r="P52">
        <v>4</v>
      </c>
      <c r="Q52">
        <v>4.2000000000000003E-2</v>
      </c>
      <c r="R52">
        <v>0.125</v>
      </c>
      <c r="S52">
        <v>2.4E-2</v>
      </c>
      <c r="T52">
        <v>69</v>
      </c>
      <c r="U52">
        <v>7.0000000000000001E-3</v>
      </c>
      <c r="V52">
        <v>0.03</v>
      </c>
      <c r="W52">
        <v>7</v>
      </c>
      <c r="X52">
        <v>1E-3</v>
      </c>
      <c r="Y52">
        <v>61</v>
      </c>
      <c r="Z52">
        <v>0.5</v>
      </c>
      <c r="AA52">
        <v>0.25</v>
      </c>
    </row>
    <row r="53" spans="1:27" x14ac:dyDescent="0.3">
      <c r="A53" s="1" t="s">
        <v>181</v>
      </c>
      <c r="B53" t="s">
        <v>28</v>
      </c>
      <c r="C53" t="s">
        <v>182</v>
      </c>
      <c r="D53" t="s">
        <v>183</v>
      </c>
      <c r="E53">
        <v>345</v>
      </c>
      <c r="F53">
        <v>2.0499999999999998</v>
      </c>
      <c r="G53">
        <v>37</v>
      </c>
      <c r="H53">
        <v>2.79</v>
      </c>
      <c r="I53">
        <v>2.79</v>
      </c>
      <c r="J53">
        <v>0</v>
      </c>
      <c r="K53">
        <v>411</v>
      </c>
      <c r="L53">
        <v>2.5999999999999999E-2</v>
      </c>
      <c r="M53">
        <v>0.18</v>
      </c>
      <c r="N53">
        <v>0.6</v>
      </c>
      <c r="O53">
        <v>1.06</v>
      </c>
      <c r="P53">
        <v>4</v>
      </c>
      <c r="Q53">
        <v>3.9E-2</v>
      </c>
      <c r="R53">
        <v>0.11</v>
      </c>
      <c r="S53">
        <v>2.1999999999999999E-2</v>
      </c>
      <c r="T53">
        <v>65</v>
      </c>
      <c r="U53">
        <v>6.0000000000000001E-3</v>
      </c>
      <c r="V53">
        <v>0.03</v>
      </c>
      <c r="W53">
        <v>7</v>
      </c>
      <c r="X53">
        <v>1E-3</v>
      </c>
      <c r="Y53">
        <v>62</v>
      </c>
      <c r="Z53">
        <v>0.5</v>
      </c>
      <c r="AA53">
        <v>0.23</v>
      </c>
    </row>
    <row r="54" spans="1:27" x14ac:dyDescent="0.3">
      <c r="A54" s="1" t="s">
        <v>184</v>
      </c>
      <c r="B54" t="s">
        <v>28</v>
      </c>
      <c r="C54" t="s">
        <v>185</v>
      </c>
      <c r="D54" t="s">
        <v>186</v>
      </c>
      <c r="E54">
        <v>257</v>
      </c>
      <c r="F54">
        <v>3.2</v>
      </c>
      <c r="G54">
        <v>22.22</v>
      </c>
      <c r="H54">
        <v>12.49</v>
      </c>
      <c r="I54">
        <v>8</v>
      </c>
      <c r="J54">
        <v>0</v>
      </c>
      <c r="K54">
        <v>188</v>
      </c>
      <c r="L54">
        <v>4.1000000000000002E-2</v>
      </c>
      <c r="M54">
        <v>0.28999999999999998</v>
      </c>
      <c r="N54">
        <v>0</v>
      </c>
      <c r="O54">
        <v>0.64</v>
      </c>
      <c r="P54">
        <v>3</v>
      </c>
      <c r="Q54">
        <v>7.0000000000000007E-2</v>
      </c>
      <c r="R54">
        <v>6.5000000000000002E-2</v>
      </c>
      <c r="S54">
        <v>3.6999999999999998E-2</v>
      </c>
      <c r="T54">
        <v>101</v>
      </c>
      <c r="U54">
        <v>0.01</v>
      </c>
      <c r="V54">
        <v>0.05</v>
      </c>
      <c r="W54">
        <v>11</v>
      </c>
      <c r="X54">
        <v>1E-3</v>
      </c>
      <c r="Y54">
        <v>89</v>
      </c>
      <c r="Z54">
        <v>1.4</v>
      </c>
      <c r="AA54">
        <v>0.37</v>
      </c>
    </row>
    <row r="55" spans="1:27" x14ac:dyDescent="0.3">
      <c r="A55" s="1" t="s">
        <v>187</v>
      </c>
      <c r="B55" t="s">
        <v>28</v>
      </c>
      <c r="C55" t="s">
        <v>188</v>
      </c>
      <c r="D55" t="s">
        <v>189</v>
      </c>
      <c r="E55">
        <v>135</v>
      </c>
      <c r="F55">
        <v>2.94</v>
      </c>
      <c r="G55">
        <v>12</v>
      </c>
      <c r="H55">
        <v>4.26</v>
      </c>
      <c r="I55">
        <v>0.16</v>
      </c>
      <c r="J55">
        <v>0</v>
      </c>
      <c r="K55">
        <v>102</v>
      </c>
      <c r="L55">
        <v>1.6E-2</v>
      </c>
      <c r="M55">
        <v>0.3</v>
      </c>
      <c r="N55">
        <v>0.9</v>
      </c>
      <c r="O55">
        <v>0.34</v>
      </c>
      <c r="P55">
        <v>11</v>
      </c>
      <c r="Q55">
        <v>6.7000000000000004E-2</v>
      </c>
      <c r="R55">
        <v>0.14899999999999999</v>
      </c>
      <c r="S55">
        <v>3.5000000000000003E-2</v>
      </c>
      <c r="T55">
        <v>104</v>
      </c>
      <c r="U55">
        <v>1.6E-2</v>
      </c>
      <c r="V55">
        <v>7.0000000000000007E-2</v>
      </c>
      <c r="W55">
        <v>10</v>
      </c>
      <c r="X55">
        <v>3.0000000000000001E-3</v>
      </c>
      <c r="Y55">
        <v>95</v>
      </c>
      <c r="Z55">
        <v>2.1</v>
      </c>
      <c r="AA55">
        <v>0.5</v>
      </c>
    </row>
    <row r="56" spans="1:27" x14ac:dyDescent="0.3">
      <c r="A56" s="1" t="s">
        <v>190</v>
      </c>
      <c r="B56" t="s">
        <v>28</v>
      </c>
      <c r="C56" t="s">
        <v>191</v>
      </c>
      <c r="D56" t="s">
        <v>192</v>
      </c>
      <c r="E56">
        <v>193</v>
      </c>
      <c r="F56">
        <v>2.0699999999999998</v>
      </c>
      <c r="G56">
        <v>19.73</v>
      </c>
      <c r="H56">
        <v>2.88</v>
      </c>
      <c r="I56">
        <v>2.88</v>
      </c>
      <c r="J56">
        <v>0</v>
      </c>
      <c r="K56">
        <v>176</v>
      </c>
      <c r="L56">
        <v>5.7000000000000002E-2</v>
      </c>
      <c r="M56">
        <v>0.28000000000000003</v>
      </c>
      <c r="N56">
        <v>0.9</v>
      </c>
      <c r="O56">
        <v>0.44</v>
      </c>
      <c r="P56">
        <v>7</v>
      </c>
      <c r="Q56">
        <v>0.109</v>
      </c>
      <c r="R56">
        <v>0.17199999999999999</v>
      </c>
      <c r="S56">
        <v>3.5999999999999997E-2</v>
      </c>
      <c r="T56">
        <v>110</v>
      </c>
      <c r="U56">
        <v>1.9E-2</v>
      </c>
      <c r="V56">
        <v>0.17</v>
      </c>
      <c r="W56">
        <v>10</v>
      </c>
      <c r="X56">
        <v>1.0999999999999999E-2</v>
      </c>
      <c r="Y56">
        <v>115</v>
      </c>
      <c r="Z56">
        <v>2.6</v>
      </c>
      <c r="AA56">
        <v>0.38</v>
      </c>
    </row>
    <row r="57" spans="1:27" x14ac:dyDescent="0.3">
      <c r="A57" s="1" t="s">
        <v>193</v>
      </c>
      <c r="B57" t="s">
        <v>28</v>
      </c>
      <c r="C57" t="s">
        <v>194</v>
      </c>
      <c r="D57" t="s">
        <v>195</v>
      </c>
      <c r="E57">
        <v>88</v>
      </c>
      <c r="F57">
        <v>4.55</v>
      </c>
      <c r="G57">
        <v>4.1900000000000004</v>
      </c>
      <c r="H57">
        <v>8.0500000000000007</v>
      </c>
      <c r="I57">
        <v>8.0500000000000007</v>
      </c>
      <c r="J57">
        <v>0</v>
      </c>
      <c r="K57">
        <v>59</v>
      </c>
      <c r="L57">
        <v>0.05</v>
      </c>
      <c r="M57">
        <v>0.45</v>
      </c>
      <c r="N57">
        <v>1.5</v>
      </c>
      <c r="O57">
        <v>0.21</v>
      </c>
      <c r="P57">
        <v>1</v>
      </c>
      <c r="Q57">
        <v>0.105</v>
      </c>
      <c r="R57">
        <v>0.19</v>
      </c>
      <c r="S57">
        <v>3.4000000000000002E-2</v>
      </c>
      <c r="T57">
        <v>130</v>
      </c>
      <c r="U57">
        <v>1.2999999999999999E-2</v>
      </c>
      <c r="V57">
        <v>0.2</v>
      </c>
      <c r="W57">
        <v>19</v>
      </c>
      <c r="X57">
        <v>5.0000000000000001E-3</v>
      </c>
      <c r="Y57">
        <v>109</v>
      </c>
      <c r="Z57">
        <v>4.2</v>
      </c>
      <c r="AA57">
        <v>0.46</v>
      </c>
    </row>
    <row r="58" spans="1:27" x14ac:dyDescent="0.3">
      <c r="A58" s="1" t="s">
        <v>196</v>
      </c>
      <c r="B58" t="s">
        <v>28</v>
      </c>
      <c r="C58" t="s">
        <v>197</v>
      </c>
      <c r="D58" t="s">
        <v>198</v>
      </c>
      <c r="E58">
        <v>178</v>
      </c>
      <c r="F58">
        <v>3.25</v>
      </c>
      <c r="G58">
        <v>16.57</v>
      </c>
      <c r="H58">
        <v>4.68</v>
      </c>
      <c r="I58">
        <v>4.68</v>
      </c>
      <c r="J58">
        <v>0</v>
      </c>
      <c r="K58">
        <v>3</v>
      </c>
      <c r="L58">
        <v>1.7000000000000001E-2</v>
      </c>
      <c r="M58">
        <v>0.33</v>
      </c>
      <c r="N58">
        <v>0.9</v>
      </c>
      <c r="O58">
        <v>1.34</v>
      </c>
      <c r="P58">
        <v>12</v>
      </c>
      <c r="Q58">
        <v>7.3999999999999996E-2</v>
      </c>
      <c r="R58">
        <v>0.16300000000000001</v>
      </c>
      <c r="S58">
        <v>3.7999999999999999E-2</v>
      </c>
      <c r="T58">
        <v>113</v>
      </c>
      <c r="U58">
        <v>0.01</v>
      </c>
      <c r="V58">
        <v>0.03</v>
      </c>
      <c r="W58">
        <v>10</v>
      </c>
      <c r="X58">
        <v>2E-3</v>
      </c>
      <c r="Y58">
        <v>87</v>
      </c>
      <c r="Z58">
        <v>2.2999999999999998</v>
      </c>
      <c r="AA58">
        <v>0.37</v>
      </c>
    </row>
    <row r="59" spans="1:27" x14ac:dyDescent="0.3">
      <c r="A59" s="1" t="s">
        <v>199</v>
      </c>
      <c r="B59" t="s">
        <v>28</v>
      </c>
      <c r="C59" t="s">
        <v>200</v>
      </c>
      <c r="D59" t="s">
        <v>201</v>
      </c>
      <c r="E59">
        <v>63</v>
      </c>
      <c r="F59">
        <v>3.33</v>
      </c>
      <c r="G59">
        <v>3.46</v>
      </c>
      <c r="H59">
        <v>4.74</v>
      </c>
      <c r="I59">
        <v>0</v>
      </c>
      <c r="J59">
        <v>0</v>
      </c>
      <c r="K59">
        <v>2</v>
      </c>
      <c r="L59">
        <v>0.04</v>
      </c>
      <c r="M59">
        <v>0.34</v>
      </c>
      <c r="N59">
        <v>0.9</v>
      </c>
      <c r="O59">
        <v>0</v>
      </c>
      <c r="P59">
        <v>5</v>
      </c>
      <c r="Q59">
        <v>8.6999999999999994E-2</v>
      </c>
      <c r="R59">
        <v>0.123</v>
      </c>
      <c r="S59">
        <v>0.03</v>
      </c>
      <c r="T59">
        <v>128</v>
      </c>
      <c r="U59">
        <v>0.01</v>
      </c>
      <c r="V59">
        <v>0.05</v>
      </c>
      <c r="W59">
        <v>13</v>
      </c>
      <c r="X59">
        <v>2E-3</v>
      </c>
      <c r="Y59">
        <v>97</v>
      </c>
      <c r="Z59">
        <v>2</v>
      </c>
      <c r="AA59">
        <v>0.36</v>
      </c>
    </row>
    <row r="60" spans="1:27" x14ac:dyDescent="0.3">
      <c r="A60" s="1" t="s">
        <v>202</v>
      </c>
      <c r="B60" t="s">
        <v>28</v>
      </c>
      <c r="C60" t="s">
        <v>203</v>
      </c>
      <c r="D60" t="s">
        <v>204</v>
      </c>
      <c r="E60">
        <v>63</v>
      </c>
      <c r="F60">
        <v>3.33</v>
      </c>
      <c r="G60">
        <v>3.4</v>
      </c>
      <c r="H60">
        <v>4.74</v>
      </c>
      <c r="I60">
        <v>4.74</v>
      </c>
      <c r="J60">
        <v>0</v>
      </c>
      <c r="K60">
        <v>2</v>
      </c>
      <c r="L60">
        <v>0.04</v>
      </c>
      <c r="M60">
        <v>0.34</v>
      </c>
      <c r="N60">
        <v>0.9</v>
      </c>
      <c r="O60">
        <v>0.13</v>
      </c>
      <c r="P60">
        <v>5</v>
      </c>
      <c r="Q60">
        <v>8.6999999999999994E-2</v>
      </c>
      <c r="R60">
        <v>0.123</v>
      </c>
      <c r="S60">
        <v>0.03</v>
      </c>
      <c r="T60">
        <v>128</v>
      </c>
      <c r="U60">
        <v>0.01</v>
      </c>
      <c r="V60">
        <v>0.05</v>
      </c>
      <c r="W60">
        <v>13</v>
      </c>
      <c r="X60">
        <v>2E-3</v>
      </c>
      <c r="Y60">
        <v>97</v>
      </c>
      <c r="Z60">
        <v>2</v>
      </c>
      <c r="AA60">
        <v>0.36</v>
      </c>
    </row>
    <row r="61" spans="1:27" x14ac:dyDescent="0.3">
      <c r="A61" s="1" t="s">
        <v>205</v>
      </c>
      <c r="B61" t="s">
        <v>28</v>
      </c>
      <c r="C61" t="s">
        <v>206</v>
      </c>
      <c r="D61" t="s">
        <v>207</v>
      </c>
      <c r="E61">
        <v>126</v>
      </c>
      <c r="F61">
        <v>21.05</v>
      </c>
      <c r="G61">
        <v>0</v>
      </c>
      <c r="H61">
        <v>10.53</v>
      </c>
      <c r="I61">
        <v>5.26</v>
      </c>
      <c r="J61">
        <v>0</v>
      </c>
      <c r="K61">
        <v>56</v>
      </c>
      <c r="L61">
        <v>0.56699999999999995</v>
      </c>
      <c r="M61">
        <v>1.85</v>
      </c>
      <c r="N61">
        <v>0</v>
      </c>
      <c r="O61">
        <v>0.27</v>
      </c>
      <c r="P61">
        <v>9</v>
      </c>
      <c r="Q61">
        <v>5.56</v>
      </c>
      <c r="R61">
        <v>0.54500000000000004</v>
      </c>
      <c r="S61">
        <v>0.41199999999999998</v>
      </c>
      <c r="T61">
        <v>789</v>
      </c>
      <c r="U61">
        <v>0.55900000000000005</v>
      </c>
      <c r="V61">
        <v>0</v>
      </c>
      <c r="W61">
        <v>115</v>
      </c>
      <c r="X61">
        <v>0</v>
      </c>
      <c r="Y61">
        <v>316</v>
      </c>
      <c r="Z61">
        <v>14.6</v>
      </c>
      <c r="AA61">
        <v>4.1100000000000003</v>
      </c>
    </row>
    <row r="62" spans="1:27" x14ac:dyDescent="0.3">
      <c r="A62" s="1" t="s">
        <v>208</v>
      </c>
      <c r="B62" t="s">
        <v>28</v>
      </c>
      <c r="C62" t="s">
        <v>209</v>
      </c>
      <c r="D62" t="s">
        <v>210</v>
      </c>
      <c r="E62">
        <v>136</v>
      </c>
      <c r="F62">
        <v>1</v>
      </c>
      <c r="G62">
        <v>9.9700000000000006</v>
      </c>
      <c r="H62">
        <v>11.38</v>
      </c>
      <c r="I62">
        <v>11.38</v>
      </c>
      <c r="J62">
        <v>0</v>
      </c>
      <c r="K62">
        <v>1</v>
      </c>
      <c r="L62">
        <v>0</v>
      </c>
      <c r="M62">
        <v>0</v>
      </c>
      <c r="N62">
        <v>0</v>
      </c>
      <c r="O62">
        <v>0.81</v>
      </c>
      <c r="P62">
        <v>0</v>
      </c>
      <c r="Q62">
        <v>0</v>
      </c>
      <c r="R62">
        <v>0</v>
      </c>
      <c r="S62">
        <v>0</v>
      </c>
      <c r="T62">
        <v>9</v>
      </c>
      <c r="U62">
        <v>0</v>
      </c>
      <c r="V62">
        <v>0.03</v>
      </c>
      <c r="W62">
        <v>0</v>
      </c>
      <c r="X62">
        <v>0</v>
      </c>
      <c r="Y62">
        <v>64</v>
      </c>
      <c r="Z62">
        <v>1.1000000000000001</v>
      </c>
      <c r="AA62">
        <v>0.02</v>
      </c>
    </row>
    <row r="63" spans="1:27" x14ac:dyDescent="0.3">
      <c r="A63" s="1" t="s">
        <v>211</v>
      </c>
      <c r="B63" t="s">
        <v>28</v>
      </c>
      <c r="C63" t="s">
        <v>212</v>
      </c>
      <c r="D63" t="s">
        <v>213</v>
      </c>
      <c r="E63">
        <v>136</v>
      </c>
      <c r="F63">
        <v>1</v>
      </c>
      <c r="G63">
        <v>9.9700000000000006</v>
      </c>
      <c r="H63">
        <v>11.38</v>
      </c>
      <c r="I63">
        <v>0</v>
      </c>
      <c r="J63">
        <v>0</v>
      </c>
      <c r="K63">
        <v>4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9</v>
      </c>
      <c r="U63">
        <v>2.5000000000000001E-2</v>
      </c>
      <c r="V63">
        <v>0.03</v>
      </c>
      <c r="W63">
        <v>0</v>
      </c>
      <c r="X63">
        <v>0.04</v>
      </c>
      <c r="Y63">
        <v>64</v>
      </c>
      <c r="Z63">
        <v>1.1000000000000001</v>
      </c>
      <c r="AA63">
        <v>0.02</v>
      </c>
    </row>
    <row r="64" spans="1:27" x14ac:dyDescent="0.3">
      <c r="A64" s="1" t="s">
        <v>214</v>
      </c>
      <c r="B64" t="s">
        <v>28</v>
      </c>
      <c r="C64" t="s">
        <v>215</v>
      </c>
      <c r="D64" t="s">
        <v>216</v>
      </c>
      <c r="E64">
        <v>545</v>
      </c>
      <c r="F64">
        <v>4.79</v>
      </c>
      <c r="G64">
        <v>35.479999999999997</v>
      </c>
      <c r="H64">
        <v>54.88</v>
      </c>
      <c r="I64">
        <v>54.88</v>
      </c>
      <c r="J64">
        <v>0</v>
      </c>
      <c r="K64">
        <v>2</v>
      </c>
      <c r="L64">
        <v>0</v>
      </c>
      <c r="M64">
        <v>0</v>
      </c>
      <c r="N64">
        <v>0</v>
      </c>
      <c r="O64">
        <v>0.59</v>
      </c>
      <c r="P64">
        <v>0</v>
      </c>
      <c r="Q64">
        <v>0</v>
      </c>
      <c r="R64">
        <v>0.16500000000000001</v>
      </c>
      <c r="S64">
        <v>0</v>
      </c>
      <c r="T64">
        <v>22</v>
      </c>
      <c r="U64">
        <v>0.115</v>
      </c>
      <c r="V64">
        <v>1.1499999999999999</v>
      </c>
      <c r="W64">
        <v>4</v>
      </c>
      <c r="X64">
        <v>0.22</v>
      </c>
      <c r="Y64">
        <v>422</v>
      </c>
      <c r="Z64">
        <v>0.6</v>
      </c>
      <c r="AA64">
        <v>0.51</v>
      </c>
    </row>
    <row r="65" spans="1:27" x14ac:dyDescent="0.3">
      <c r="A65" s="1" t="s">
        <v>217</v>
      </c>
      <c r="B65" t="s">
        <v>28</v>
      </c>
      <c r="C65" t="s">
        <v>218</v>
      </c>
      <c r="D65" t="s">
        <v>219</v>
      </c>
      <c r="E65">
        <v>577</v>
      </c>
      <c r="F65">
        <v>4.9000000000000004</v>
      </c>
      <c r="G65">
        <v>39.92</v>
      </c>
      <c r="H65">
        <v>52.54</v>
      </c>
      <c r="I65">
        <v>52.54</v>
      </c>
      <c r="J65">
        <v>0</v>
      </c>
      <c r="K65">
        <v>0</v>
      </c>
      <c r="L65">
        <v>0</v>
      </c>
      <c r="M65">
        <v>0</v>
      </c>
      <c r="N65">
        <v>0</v>
      </c>
      <c r="O65">
        <v>1.52</v>
      </c>
      <c r="P65">
        <v>0</v>
      </c>
      <c r="Q65">
        <v>0</v>
      </c>
      <c r="R65">
        <v>0</v>
      </c>
      <c r="S65">
        <v>0</v>
      </c>
      <c r="T65">
        <v>17</v>
      </c>
      <c r="U65">
        <v>0.11799999999999999</v>
      </c>
      <c r="V65">
        <v>0.03</v>
      </c>
      <c r="W65">
        <v>7</v>
      </c>
      <c r="X65">
        <v>0.22500000000000001</v>
      </c>
      <c r="Y65">
        <v>74</v>
      </c>
      <c r="Z65">
        <v>0.6</v>
      </c>
      <c r="AA65">
        <v>0.08</v>
      </c>
    </row>
    <row r="66" spans="1:27" x14ac:dyDescent="0.3">
      <c r="A66" s="1" t="s">
        <v>220</v>
      </c>
      <c r="B66" t="s">
        <v>28</v>
      </c>
      <c r="C66" t="s">
        <v>221</v>
      </c>
      <c r="D66" t="s">
        <v>222</v>
      </c>
      <c r="E66">
        <v>194</v>
      </c>
      <c r="F66">
        <v>3.61</v>
      </c>
      <c r="G66">
        <v>12.72</v>
      </c>
      <c r="H66">
        <v>17.13</v>
      </c>
      <c r="I66">
        <v>17.13</v>
      </c>
      <c r="J66">
        <v>0</v>
      </c>
      <c r="K66">
        <v>34</v>
      </c>
      <c r="L66">
        <v>0.03</v>
      </c>
      <c r="M66">
        <v>0.26</v>
      </c>
      <c r="N66">
        <v>0.7</v>
      </c>
      <c r="O66">
        <v>0.45</v>
      </c>
      <c r="P66">
        <v>4</v>
      </c>
      <c r="Q66">
        <v>0.06</v>
      </c>
      <c r="R66">
        <v>0.11700000000000001</v>
      </c>
      <c r="S66">
        <v>2.7E-2</v>
      </c>
      <c r="T66">
        <v>90</v>
      </c>
      <c r="U66">
        <v>1.2E-2</v>
      </c>
      <c r="V66">
        <v>0.04</v>
      </c>
      <c r="W66">
        <v>10</v>
      </c>
      <c r="X66">
        <v>5.0000000000000001E-3</v>
      </c>
      <c r="Y66">
        <v>86</v>
      </c>
      <c r="Z66">
        <v>4.8</v>
      </c>
      <c r="AA66">
        <v>0.27</v>
      </c>
    </row>
    <row r="67" spans="1:27" x14ac:dyDescent="0.3">
      <c r="A67" s="1" t="s">
        <v>223</v>
      </c>
      <c r="B67" t="s">
        <v>28</v>
      </c>
      <c r="C67" t="s">
        <v>224</v>
      </c>
      <c r="D67" t="s">
        <v>225</v>
      </c>
      <c r="E67">
        <v>264</v>
      </c>
      <c r="F67">
        <v>0.98</v>
      </c>
      <c r="G67">
        <v>22.3</v>
      </c>
      <c r="H67">
        <v>16.07</v>
      </c>
      <c r="I67">
        <v>16.07</v>
      </c>
      <c r="J67">
        <v>0</v>
      </c>
      <c r="K67">
        <v>4</v>
      </c>
      <c r="L67">
        <v>0</v>
      </c>
      <c r="M67">
        <v>0</v>
      </c>
      <c r="N67">
        <v>0</v>
      </c>
      <c r="O67">
        <v>0.85</v>
      </c>
      <c r="P67">
        <v>0</v>
      </c>
      <c r="Q67">
        <v>0</v>
      </c>
      <c r="R67">
        <v>0</v>
      </c>
      <c r="S67">
        <v>0</v>
      </c>
      <c r="T67">
        <v>5</v>
      </c>
      <c r="U67">
        <v>2.4E-2</v>
      </c>
      <c r="V67">
        <v>0.02</v>
      </c>
      <c r="W67">
        <v>1</v>
      </c>
      <c r="X67">
        <v>4.4999999999999998E-2</v>
      </c>
      <c r="Y67">
        <v>18</v>
      </c>
      <c r="Z67">
        <v>1.5</v>
      </c>
      <c r="AA67">
        <v>0.01</v>
      </c>
    </row>
    <row r="68" spans="1:27" x14ac:dyDescent="0.3">
      <c r="A68" s="1" t="s">
        <v>226</v>
      </c>
      <c r="B68" t="s">
        <v>28</v>
      </c>
      <c r="C68" t="s">
        <v>227</v>
      </c>
      <c r="D68" t="s">
        <v>228</v>
      </c>
      <c r="E68">
        <v>318</v>
      </c>
      <c r="F68">
        <v>1.25</v>
      </c>
      <c r="G68">
        <v>25.31</v>
      </c>
      <c r="H68">
        <v>23.05</v>
      </c>
      <c r="I68">
        <v>23.05</v>
      </c>
      <c r="J68">
        <v>0</v>
      </c>
      <c r="K68">
        <v>7</v>
      </c>
      <c r="L68">
        <v>0</v>
      </c>
      <c r="M68">
        <v>0</v>
      </c>
      <c r="N68">
        <v>0</v>
      </c>
      <c r="O68">
        <v>0.96</v>
      </c>
      <c r="P68">
        <v>0</v>
      </c>
      <c r="Q68">
        <v>0</v>
      </c>
      <c r="R68">
        <v>0</v>
      </c>
      <c r="S68">
        <v>0</v>
      </c>
      <c r="T68">
        <v>6</v>
      </c>
      <c r="U68">
        <v>0.03</v>
      </c>
      <c r="V68">
        <v>0.12</v>
      </c>
      <c r="W68">
        <v>2</v>
      </c>
      <c r="X68">
        <v>5.8000000000000003E-2</v>
      </c>
      <c r="Y68">
        <v>8</v>
      </c>
      <c r="Z68">
        <v>2.1</v>
      </c>
      <c r="AA68">
        <v>0.03</v>
      </c>
    </row>
    <row r="69" spans="1:27" x14ac:dyDescent="0.3">
      <c r="A69" s="1" t="s">
        <v>229</v>
      </c>
      <c r="B69" t="s">
        <v>28</v>
      </c>
      <c r="C69" t="s">
        <v>230</v>
      </c>
      <c r="D69" t="s">
        <v>231</v>
      </c>
      <c r="E69">
        <v>208</v>
      </c>
      <c r="F69">
        <v>2.4</v>
      </c>
      <c r="G69">
        <v>19.52</v>
      </c>
      <c r="H69">
        <v>6.63</v>
      </c>
      <c r="I69">
        <v>6.63</v>
      </c>
      <c r="J69">
        <v>0</v>
      </c>
      <c r="K69">
        <v>0</v>
      </c>
      <c r="L69">
        <v>0</v>
      </c>
      <c r="M69">
        <v>0</v>
      </c>
      <c r="N69">
        <v>0</v>
      </c>
      <c r="O69">
        <v>0.74</v>
      </c>
      <c r="P69">
        <v>0</v>
      </c>
      <c r="Q69">
        <v>0</v>
      </c>
      <c r="R69">
        <v>0</v>
      </c>
      <c r="S69">
        <v>0</v>
      </c>
      <c r="T69">
        <v>3</v>
      </c>
      <c r="U69">
        <v>5.8000000000000003E-2</v>
      </c>
      <c r="V69">
        <v>0.39</v>
      </c>
      <c r="W69">
        <v>6</v>
      </c>
      <c r="X69">
        <v>0.11</v>
      </c>
      <c r="Y69">
        <v>45</v>
      </c>
      <c r="Z69">
        <v>2.5</v>
      </c>
      <c r="AA69">
        <v>1.18</v>
      </c>
    </row>
    <row r="70" spans="1:27" x14ac:dyDescent="0.3">
      <c r="A70" s="1" t="s">
        <v>232</v>
      </c>
      <c r="B70" t="s">
        <v>28</v>
      </c>
      <c r="C70" t="s">
        <v>233</v>
      </c>
      <c r="D70" t="s">
        <v>234</v>
      </c>
      <c r="E70">
        <v>61</v>
      </c>
      <c r="F70">
        <v>1.75</v>
      </c>
      <c r="G70">
        <v>3.41</v>
      </c>
      <c r="H70">
        <v>6.16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8.7999999999999995E-2</v>
      </c>
      <c r="S70">
        <v>1.2E-2</v>
      </c>
      <c r="T70">
        <v>33</v>
      </c>
      <c r="U70">
        <v>5.0999999999999997E-2</v>
      </c>
      <c r="V70">
        <v>0.39</v>
      </c>
      <c r="W70">
        <v>6</v>
      </c>
      <c r="X70">
        <v>9.7000000000000003E-2</v>
      </c>
      <c r="Y70">
        <v>74</v>
      </c>
      <c r="Z70">
        <v>1.9</v>
      </c>
      <c r="AA70">
        <v>1.18</v>
      </c>
    </row>
    <row r="71" spans="1:27" x14ac:dyDescent="0.3">
      <c r="A71" s="1" t="s">
        <v>235</v>
      </c>
      <c r="B71" t="s">
        <v>28</v>
      </c>
      <c r="C71" t="s">
        <v>236</v>
      </c>
      <c r="D71" t="s">
        <v>237</v>
      </c>
      <c r="E71">
        <v>61</v>
      </c>
      <c r="F71">
        <v>3.15</v>
      </c>
      <c r="G71">
        <v>3.25</v>
      </c>
      <c r="H71">
        <v>4.8</v>
      </c>
      <c r="I71">
        <v>5.05</v>
      </c>
      <c r="J71">
        <v>0</v>
      </c>
      <c r="K71">
        <v>46</v>
      </c>
      <c r="L71">
        <v>3.5999999999999997E-2</v>
      </c>
      <c r="M71">
        <v>0.45</v>
      </c>
      <c r="N71">
        <v>0</v>
      </c>
      <c r="O71">
        <v>7.0000000000000007E-2</v>
      </c>
      <c r="P71">
        <v>5</v>
      </c>
      <c r="Q71">
        <v>8.8999999999999996E-2</v>
      </c>
      <c r="R71">
        <v>0.16900000000000001</v>
      </c>
      <c r="S71">
        <v>4.5999999999999999E-2</v>
      </c>
      <c r="T71">
        <v>113</v>
      </c>
      <c r="U71">
        <v>2.5000000000000001E-2</v>
      </c>
      <c r="V71">
        <v>0.03</v>
      </c>
      <c r="W71">
        <v>10</v>
      </c>
      <c r="X71">
        <v>4.0000000000000001E-3</v>
      </c>
      <c r="Y71">
        <v>84</v>
      </c>
      <c r="Z71">
        <v>3.7</v>
      </c>
      <c r="AA71">
        <v>0.37</v>
      </c>
    </row>
    <row r="72" spans="1:27" x14ac:dyDescent="0.3">
      <c r="A72" s="1" t="s">
        <v>238</v>
      </c>
      <c r="B72" t="s">
        <v>28</v>
      </c>
      <c r="C72" t="s">
        <v>239</v>
      </c>
      <c r="D72" t="s">
        <v>240</v>
      </c>
      <c r="E72">
        <v>64</v>
      </c>
      <c r="F72">
        <v>3.28</v>
      </c>
      <c r="G72">
        <v>3.66</v>
      </c>
      <c r="H72">
        <v>4.6500000000000004</v>
      </c>
      <c r="I72">
        <v>0</v>
      </c>
      <c r="J72">
        <v>0</v>
      </c>
      <c r="K72">
        <v>33</v>
      </c>
      <c r="L72">
        <v>4.2000000000000003E-2</v>
      </c>
      <c r="M72">
        <v>0.36</v>
      </c>
      <c r="N72">
        <v>1.5</v>
      </c>
      <c r="O72">
        <v>0</v>
      </c>
      <c r="P72">
        <v>5</v>
      </c>
      <c r="Q72">
        <v>8.4000000000000005E-2</v>
      </c>
      <c r="R72">
        <v>0.161</v>
      </c>
      <c r="S72">
        <v>3.7999999999999999E-2</v>
      </c>
      <c r="T72">
        <v>119</v>
      </c>
      <c r="U72">
        <v>0.01</v>
      </c>
      <c r="V72">
        <v>0.05</v>
      </c>
      <c r="W72">
        <v>13</v>
      </c>
      <c r="X72">
        <v>4.0000000000000001E-3</v>
      </c>
      <c r="Y72">
        <v>93</v>
      </c>
      <c r="Z72">
        <v>2</v>
      </c>
      <c r="AA72">
        <v>0.38</v>
      </c>
    </row>
    <row r="73" spans="1:27" x14ac:dyDescent="0.3">
      <c r="A73" s="1" t="s">
        <v>241</v>
      </c>
      <c r="B73" t="s">
        <v>28</v>
      </c>
      <c r="C73" t="s">
        <v>242</v>
      </c>
      <c r="D73" t="s">
        <v>243</v>
      </c>
      <c r="E73">
        <v>50</v>
      </c>
      <c r="F73">
        <v>3.3</v>
      </c>
      <c r="G73">
        <v>1.98</v>
      </c>
      <c r="H73">
        <v>4.8</v>
      </c>
      <c r="I73">
        <v>5.0599999999999996</v>
      </c>
      <c r="J73">
        <v>0</v>
      </c>
      <c r="K73">
        <v>55</v>
      </c>
      <c r="L73">
        <v>3.7999999999999999E-2</v>
      </c>
      <c r="M73">
        <v>0.53</v>
      </c>
      <c r="N73">
        <v>0.2</v>
      </c>
      <c r="O73">
        <v>0.03</v>
      </c>
      <c r="P73">
        <v>5</v>
      </c>
      <c r="Q73">
        <v>9.1999999999999998E-2</v>
      </c>
      <c r="R73">
        <v>0.185</v>
      </c>
      <c r="S73">
        <v>3.9E-2</v>
      </c>
      <c r="T73">
        <v>120</v>
      </c>
      <c r="U73">
        <v>6.0000000000000001E-3</v>
      </c>
      <c r="V73">
        <v>0.02</v>
      </c>
      <c r="W73">
        <v>11</v>
      </c>
      <c r="X73">
        <v>1.4E-2</v>
      </c>
      <c r="Y73">
        <v>92</v>
      </c>
      <c r="Z73">
        <v>2.5</v>
      </c>
      <c r="AA73">
        <v>0.48</v>
      </c>
    </row>
    <row r="74" spans="1:27" x14ac:dyDescent="0.3">
      <c r="A74" s="1" t="s">
        <v>244</v>
      </c>
      <c r="B74" t="s">
        <v>28</v>
      </c>
      <c r="C74" t="s">
        <v>245</v>
      </c>
      <c r="D74" t="s">
        <v>246</v>
      </c>
      <c r="E74">
        <v>51</v>
      </c>
      <c r="F74">
        <v>3.48</v>
      </c>
      <c r="G74">
        <v>1.92</v>
      </c>
      <c r="H74">
        <v>4.97</v>
      </c>
      <c r="I74">
        <v>0</v>
      </c>
      <c r="J74">
        <v>0</v>
      </c>
      <c r="K74">
        <v>56</v>
      </c>
      <c r="L74">
        <v>4.4999999999999998E-2</v>
      </c>
      <c r="M74">
        <v>0.38</v>
      </c>
      <c r="N74">
        <v>1</v>
      </c>
      <c r="O74">
        <v>0</v>
      </c>
      <c r="P74">
        <v>5</v>
      </c>
      <c r="Q74">
        <v>0.09</v>
      </c>
      <c r="R74">
        <v>0.17299999999999999</v>
      </c>
      <c r="S74">
        <v>0.04</v>
      </c>
      <c r="T74">
        <v>128</v>
      </c>
      <c r="U74">
        <v>8.0000000000000002E-3</v>
      </c>
      <c r="V74">
        <v>0.05</v>
      </c>
      <c r="W74">
        <v>14</v>
      </c>
      <c r="X74">
        <v>2E-3</v>
      </c>
      <c r="Y74">
        <v>100</v>
      </c>
      <c r="Z74">
        <v>2.2999999999999998</v>
      </c>
      <c r="AA74">
        <v>0.4</v>
      </c>
    </row>
    <row r="75" spans="1:27" x14ac:dyDescent="0.3">
      <c r="A75" s="1" t="s">
        <v>247</v>
      </c>
      <c r="B75" t="s">
        <v>28</v>
      </c>
      <c r="C75" t="s">
        <v>248</v>
      </c>
      <c r="D75" t="s">
        <v>249</v>
      </c>
      <c r="E75">
        <v>56</v>
      </c>
      <c r="F75">
        <v>3.95</v>
      </c>
      <c r="G75">
        <v>1.98</v>
      </c>
      <c r="H75">
        <v>5.49</v>
      </c>
      <c r="I75">
        <v>5.26</v>
      </c>
      <c r="J75">
        <v>0</v>
      </c>
      <c r="K75">
        <v>0</v>
      </c>
      <c r="L75">
        <v>5.0999999999999997E-2</v>
      </c>
      <c r="M75">
        <v>0.43</v>
      </c>
      <c r="N75">
        <v>1.1000000000000001</v>
      </c>
      <c r="O75">
        <v>0.04</v>
      </c>
      <c r="P75">
        <v>6</v>
      </c>
      <c r="Q75">
        <v>0.10100000000000001</v>
      </c>
      <c r="R75">
        <v>0.19400000000000001</v>
      </c>
      <c r="S75">
        <v>4.4999999999999998E-2</v>
      </c>
      <c r="T75">
        <v>143</v>
      </c>
      <c r="U75">
        <v>8.0000000000000002E-3</v>
      </c>
      <c r="V75">
        <v>0.06</v>
      </c>
      <c r="W75">
        <v>16</v>
      </c>
      <c r="X75">
        <v>2E-3</v>
      </c>
      <c r="Y75">
        <v>112</v>
      </c>
      <c r="Z75">
        <v>2.6</v>
      </c>
      <c r="AA75">
        <v>0.45</v>
      </c>
    </row>
    <row r="76" spans="1:27" x14ac:dyDescent="0.3">
      <c r="A76" s="1" t="s">
        <v>250</v>
      </c>
      <c r="B76" t="s">
        <v>28</v>
      </c>
      <c r="C76" t="s">
        <v>251</v>
      </c>
      <c r="D76" t="s">
        <v>252</v>
      </c>
      <c r="E76">
        <v>42</v>
      </c>
      <c r="F76">
        <v>3.37</v>
      </c>
      <c r="G76">
        <v>0.97</v>
      </c>
      <c r="H76">
        <v>4.99</v>
      </c>
      <c r="I76">
        <v>5.2</v>
      </c>
      <c r="J76">
        <v>0</v>
      </c>
      <c r="K76">
        <v>58</v>
      </c>
      <c r="L76">
        <v>3.6999999999999998E-2</v>
      </c>
      <c r="M76">
        <v>0.47</v>
      </c>
      <c r="N76">
        <v>0</v>
      </c>
      <c r="O76">
        <v>0.01</v>
      </c>
      <c r="P76">
        <v>5</v>
      </c>
      <c r="Q76">
        <v>9.2999999999999999E-2</v>
      </c>
      <c r="R76">
        <v>0.185</v>
      </c>
      <c r="S76">
        <v>0.02</v>
      </c>
      <c r="T76">
        <v>125</v>
      </c>
      <c r="U76">
        <v>0.01</v>
      </c>
      <c r="V76">
        <v>0.03</v>
      </c>
      <c r="W76">
        <v>11</v>
      </c>
      <c r="X76">
        <v>3.0000000000000001E-3</v>
      </c>
      <c r="Y76">
        <v>95</v>
      </c>
      <c r="Z76">
        <v>3.3</v>
      </c>
      <c r="AA76">
        <v>0.42</v>
      </c>
    </row>
    <row r="77" spans="1:27" x14ac:dyDescent="0.3">
      <c r="A77" s="1" t="s">
        <v>253</v>
      </c>
      <c r="B77" t="s">
        <v>28</v>
      </c>
      <c r="C77" t="s">
        <v>254</v>
      </c>
      <c r="D77" t="s">
        <v>255</v>
      </c>
      <c r="E77">
        <v>43</v>
      </c>
      <c r="F77">
        <v>3.48</v>
      </c>
      <c r="G77">
        <v>0.97</v>
      </c>
      <c r="H77">
        <v>4.97</v>
      </c>
      <c r="I77">
        <v>0</v>
      </c>
      <c r="J77">
        <v>0</v>
      </c>
      <c r="K77">
        <v>59</v>
      </c>
      <c r="L77">
        <v>4.4999999999999998E-2</v>
      </c>
      <c r="M77">
        <v>0.38</v>
      </c>
      <c r="N77">
        <v>1</v>
      </c>
      <c r="O77">
        <v>0</v>
      </c>
      <c r="P77">
        <v>5</v>
      </c>
      <c r="Q77">
        <v>0.09</v>
      </c>
      <c r="R77">
        <v>0.17299999999999999</v>
      </c>
      <c r="S77">
        <v>0.04</v>
      </c>
      <c r="T77">
        <v>128</v>
      </c>
      <c r="U77">
        <v>0.01</v>
      </c>
      <c r="V77">
        <v>0.05</v>
      </c>
      <c r="W77">
        <v>14</v>
      </c>
      <c r="X77">
        <v>2E-3</v>
      </c>
      <c r="Y77">
        <v>100</v>
      </c>
      <c r="Z77">
        <v>2.2999999999999998</v>
      </c>
      <c r="AA77">
        <v>0.4</v>
      </c>
    </row>
    <row r="78" spans="1:27" x14ac:dyDescent="0.3">
      <c r="A78" s="1" t="s">
        <v>256</v>
      </c>
      <c r="B78" t="s">
        <v>28</v>
      </c>
      <c r="C78" t="s">
        <v>257</v>
      </c>
      <c r="D78" t="s">
        <v>258</v>
      </c>
      <c r="E78">
        <v>48</v>
      </c>
      <c r="F78">
        <v>3.93</v>
      </c>
      <c r="G78">
        <v>1.17</v>
      </c>
      <c r="H78">
        <v>5.52</v>
      </c>
      <c r="I78">
        <v>0</v>
      </c>
      <c r="J78">
        <v>0</v>
      </c>
      <c r="K78">
        <v>61</v>
      </c>
      <c r="L78">
        <v>0.05</v>
      </c>
      <c r="M78">
        <v>0.43</v>
      </c>
      <c r="N78">
        <v>1.2</v>
      </c>
      <c r="O78">
        <v>0</v>
      </c>
      <c r="P78">
        <v>6</v>
      </c>
      <c r="Q78">
        <v>0.1</v>
      </c>
      <c r="R78">
        <v>0.192</v>
      </c>
      <c r="S78">
        <v>4.4999999999999998E-2</v>
      </c>
      <c r="T78">
        <v>142</v>
      </c>
      <c r="U78">
        <v>0.01</v>
      </c>
      <c r="V78">
        <v>0.06</v>
      </c>
      <c r="W78">
        <v>16</v>
      </c>
      <c r="X78">
        <v>2E-3</v>
      </c>
      <c r="Y78">
        <v>111</v>
      </c>
      <c r="Z78">
        <v>2.5</v>
      </c>
      <c r="AA78">
        <v>0.45</v>
      </c>
    </row>
    <row r="79" spans="1:27" x14ac:dyDescent="0.3">
      <c r="A79" s="1" t="s">
        <v>259</v>
      </c>
      <c r="B79" t="s">
        <v>28</v>
      </c>
      <c r="C79" t="s">
        <v>260</v>
      </c>
      <c r="D79" t="s">
        <v>261</v>
      </c>
      <c r="E79">
        <v>34</v>
      </c>
      <c r="F79">
        <v>3.37</v>
      </c>
      <c r="G79">
        <v>0.08</v>
      </c>
      <c r="H79">
        <v>4.96</v>
      </c>
      <c r="I79">
        <v>5.09</v>
      </c>
      <c r="J79">
        <v>0</v>
      </c>
      <c r="K79">
        <v>61</v>
      </c>
      <c r="L79">
        <v>3.6999999999999998E-2</v>
      </c>
      <c r="M79">
        <v>0.5</v>
      </c>
      <c r="N79">
        <v>0</v>
      </c>
      <c r="O79">
        <v>0.01</v>
      </c>
      <c r="P79">
        <v>5</v>
      </c>
      <c r="Q79">
        <v>9.4E-2</v>
      </c>
      <c r="R79">
        <v>0.182</v>
      </c>
      <c r="S79">
        <v>4.4999999999999998E-2</v>
      </c>
      <c r="T79">
        <v>122</v>
      </c>
      <c r="U79">
        <v>1.2999999999999999E-2</v>
      </c>
      <c r="V79">
        <v>0.03</v>
      </c>
      <c r="W79">
        <v>11</v>
      </c>
      <c r="X79">
        <v>3.0000000000000001E-3</v>
      </c>
      <c r="Y79">
        <v>101</v>
      </c>
      <c r="Z79">
        <v>3.1</v>
      </c>
      <c r="AA79">
        <v>0.42</v>
      </c>
    </row>
    <row r="80" spans="1:27" x14ac:dyDescent="0.3">
      <c r="A80" s="1" t="s">
        <v>262</v>
      </c>
      <c r="B80" t="s">
        <v>28</v>
      </c>
      <c r="C80" t="s">
        <v>263</v>
      </c>
      <c r="D80" t="s">
        <v>264</v>
      </c>
      <c r="E80">
        <v>37</v>
      </c>
      <c r="F80">
        <v>3.57</v>
      </c>
      <c r="G80">
        <v>0.25</v>
      </c>
      <c r="H80">
        <v>5.0199999999999996</v>
      </c>
      <c r="I80">
        <v>5.0199999999999996</v>
      </c>
      <c r="J80">
        <v>0</v>
      </c>
      <c r="K80">
        <v>64</v>
      </c>
      <c r="L80">
        <v>4.5999999999999999E-2</v>
      </c>
      <c r="M80">
        <v>0.39</v>
      </c>
      <c r="N80">
        <v>1</v>
      </c>
      <c r="O80">
        <v>0.01</v>
      </c>
      <c r="P80">
        <v>5</v>
      </c>
      <c r="Q80">
        <v>9.0999999999999998E-2</v>
      </c>
      <c r="R80">
        <v>0.17499999999999999</v>
      </c>
      <c r="S80">
        <v>4.1000000000000002E-2</v>
      </c>
      <c r="T80">
        <v>129</v>
      </c>
      <c r="U80">
        <v>1.0999999999999999E-2</v>
      </c>
      <c r="V80">
        <v>0.05</v>
      </c>
      <c r="W80">
        <v>15</v>
      </c>
      <c r="X80">
        <v>2E-3</v>
      </c>
      <c r="Y80">
        <v>104</v>
      </c>
      <c r="Z80">
        <v>2.2000000000000002</v>
      </c>
      <c r="AA80">
        <v>0.41</v>
      </c>
    </row>
    <row r="81" spans="1:27" x14ac:dyDescent="0.3">
      <c r="A81" s="1" t="s">
        <v>265</v>
      </c>
      <c r="B81" t="s">
        <v>28</v>
      </c>
      <c r="C81" t="s">
        <v>266</v>
      </c>
      <c r="D81" t="s">
        <v>267</v>
      </c>
      <c r="E81">
        <v>41</v>
      </c>
      <c r="F81">
        <v>3.96</v>
      </c>
      <c r="G81">
        <v>0.25</v>
      </c>
      <c r="H81">
        <v>5.56</v>
      </c>
      <c r="I81">
        <v>0</v>
      </c>
      <c r="J81">
        <v>0</v>
      </c>
      <c r="K81">
        <v>61</v>
      </c>
      <c r="L81">
        <v>0.05</v>
      </c>
      <c r="M81">
        <v>0.43</v>
      </c>
      <c r="N81">
        <v>1.1000000000000001</v>
      </c>
      <c r="O81">
        <v>0</v>
      </c>
      <c r="P81">
        <v>6</v>
      </c>
      <c r="Q81">
        <v>0.10100000000000001</v>
      </c>
      <c r="R81">
        <v>0.19400000000000001</v>
      </c>
      <c r="S81">
        <v>4.4999999999999998E-2</v>
      </c>
      <c r="T81">
        <v>143</v>
      </c>
      <c r="U81">
        <v>1.0999999999999999E-2</v>
      </c>
      <c r="V81">
        <v>0.06</v>
      </c>
      <c r="W81">
        <v>16</v>
      </c>
      <c r="X81">
        <v>2E-3</v>
      </c>
      <c r="Y81">
        <v>112</v>
      </c>
      <c r="Z81">
        <v>2.4</v>
      </c>
      <c r="AA81">
        <v>0.45</v>
      </c>
    </row>
    <row r="82" spans="1:27" x14ac:dyDescent="0.3">
      <c r="A82" s="1" t="s">
        <v>268</v>
      </c>
      <c r="B82" t="s">
        <v>28</v>
      </c>
      <c r="C82" t="s">
        <v>269</v>
      </c>
      <c r="D82" t="s">
        <v>270</v>
      </c>
      <c r="E82">
        <v>40</v>
      </c>
      <c r="F82">
        <v>3.31</v>
      </c>
      <c r="G82">
        <v>0.88</v>
      </c>
      <c r="H82">
        <v>4.79</v>
      </c>
      <c r="I82">
        <v>4.79</v>
      </c>
      <c r="J82">
        <v>0</v>
      </c>
      <c r="K82">
        <v>14</v>
      </c>
      <c r="L82">
        <v>3.4000000000000002E-2</v>
      </c>
      <c r="M82">
        <v>0.22</v>
      </c>
      <c r="N82">
        <v>1</v>
      </c>
      <c r="O82">
        <v>0.05</v>
      </c>
      <c r="P82">
        <v>5</v>
      </c>
      <c r="Q82">
        <v>5.8000000000000003E-2</v>
      </c>
      <c r="R82">
        <v>0.154</v>
      </c>
      <c r="S82">
        <v>3.4000000000000002E-2</v>
      </c>
      <c r="T82">
        <v>116</v>
      </c>
      <c r="U82">
        <v>1.0999999999999999E-2</v>
      </c>
      <c r="V82">
        <v>0.05</v>
      </c>
      <c r="W82">
        <v>11</v>
      </c>
      <c r="X82">
        <v>2E-3</v>
      </c>
      <c r="Y82">
        <v>89</v>
      </c>
      <c r="Z82">
        <v>2</v>
      </c>
      <c r="AA82">
        <v>0.42</v>
      </c>
    </row>
    <row r="83" spans="1:27" x14ac:dyDescent="0.3">
      <c r="A83" s="1" t="s">
        <v>271</v>
      </c>
      <c r="B83" t="s">
        <v>28</v>
      </c>
      <c r="C83" t="s">
        <v>272</v>
      </c>
      <c r="D83" t="s">
        <v>273</v>
      </c>
      <c r="E83">
        <v>61</v>
      </c>
      <c r="F83">
        <v>3.1</v>
      </c>
      <c r="G83">
        <v>3.46</v>
      </c>
      <c r="H83">
        <v>4.46</v>
      </c>
      <c r="I83">
        <v>4.46</v>
      </c>
      <c r="J83">
        <v>0</v>
      </c>
      <c r="K83">
        <v>29</v>
      </c>
      <c r="L83">
        <v>3.4000000000000002E-2</v>
      </c>
      <c r="M83">
        <v>0.36</v>
      </c>
      <c r="N83">
        <v>0.9</v>
      </c>
      <c r="O83">
        <v>0.08</v>
      </c>
      <c r="P83">
        <v>5</v>
      </c>
      <c r="Q83">
        <v>4.2999999999999997E-2</v>
      </c>
      <c r="R83">
        <v>0.105</v>
      </c>
      <c r="S83">
        <v>0.02</v>
      </c>
      <c r="T83">
        <v>101</v>
      </c>
      <c r="U83">
        <v>0.01</v>
      </c>
      <c r="V83">
        <v>0.05</v>
      </c>
      <c r="W83">
        <v>5</v>
      </c>
      <c r="X83">
        <v>4.0000000000000001E-3</v>
      </c>
      <c r="Y83">
        <v>86</v>
      </c>
      <c r="Z83">
        <v>2</v>
      </c>
      <c r="AA83">
        <v>0.38</v>
      </c>
    </row>
    <row r="84" spans="1:27" x14ac:dyDescent="0.3">
      <c r="A84" s="1" t="s">
        <v>274</v>
      </c>
      <c r="B84" t="s">
        <v>28</v>
      </c>
      <c r="C84" t="s">
        <v>275</v>
      </c>
      <c r="D84" t="s">
        <v>276</v>
      </c>
      <c r="E84">
        <v>496</v>
      </c>
      <c r="F84">
        <v>26.32</v>
      </c>
      <c r="G84">
        <v>26.71</v>
      </c>
      <c r="H84">
        <v>38.42</v>
      </c>
      <c r="I84">
        <v>38.42</v>
      </c>
      <c r="J84">
        <v>0</v>
      </c>
      <c r="K84">
        <v>258</v>
      </c>
      <c r="L84">
        <v>0.30199999999999999</v>
      </c>
      <c r="M84">
        <v>3.25</v>
      </c>
      <c r="N84">
        <v>8.6</v>
      </c>
      <c r="O84">
        <v>0.57999999999999996</v>
      </c>
      <c r="P84">
        <v>37</v>
      </c>
      <c r="Q84">
        <v>0.64600000000000002</v>
      </c>
      <c r="R84">
        <v>1.2050000000000001</v>
      </c>
      <c r="S84">
        <v>0.28299999999999997</v>
      </c>
      <c r="T84">
        <v>912</v>
      </c>
      <c r="U84">
        <v>0.08</v>
      </c>
      <c r="V84">
        <v>0.47</v>
      </c>
      <c r="W84">
        <v>85</v>
      </c>
      <c r="X84">
        <v>0.04</v>
      </c>
      <c r="Y84">
        <v>776</v>
      </c>
      <c r="Z84">
        <v>16.3</v>
      </c>
      <c r="AA84">
        <v>3.34</v>
      </c>
    </row>
    <row r="85" spans="1:27" x14ac:dyDescent="0.3">
      <c r="A85" s="1" t="s">
        <v>277</v>
      </c>
      <c r="B85" t="s">
        <v>28</v>
      </c>
      <c r="C85" t="s">
        <v>278</v>
      </c>
      <c r="D85" t="s">
        <v>279</v>
      </c>
      <c r="E85">
        <v>362</v>
      </c>
      <c r="F85">
        <v>36.159999999999997</v>
      </c>
      <c r="G85">
        <v>0.77</v>
      </c>
      <c r="H85">
        <v>51.98</v>
      </c>
      <c r="I85">
        <v>51.98</v>
      </c>
      <c r="J85">
        <v>0</v>
      </c>
      <c r="K85">
        <v>6</v>
      </c>
      <c r="L85">
        <v>0.36099999999999999</v>
      </c>
      <c r="M85">
        <v>4.03</v>
      </c>
      <c r="N85">
        <v>6.8</v>
      </c>
      <c r="O85">
        <v>0</v>
      </c>
      <c r="P85">
        <v>50</v>
      </c>
      <c r="Q85">
        <v>0.95099999999999996</v>
      </c>
      <c r="R85">
        <v>1.55</v>
      </c>
      <c r="S85">
        <v>0.41499999999999998</v>
      </c>
      <c r="T85">
        <v>1257</v>
      </c>
      <c r="U85">
        <v>4.1000000000000002E-2</v>
      </c>
      <c r="V85">
        <v>0.32</v>
      </c>
      <c r="W85">
        <v>110</v>
      </c>
      <c r="X85">
        <v>0.02</v>
      </c>
      <c r="Y85">
        <v>968</v>
      </c>
      <c r="Z85">
        <v>27.3</v>
      </c>
      <c r="AA85">
        <v>4.08</v>
      </c>
    </row>
    <row r="86" spans="1:27" x14ac:dyDescent="0.3">
      <c r="A86" s="1" t="s">
        <v>280</v>
      </c>
      <c r="B86" t="s">
        <v>28</v>
      </c>
      <c r="C86" t="s">
        <v>281</v>
      </c>
      <c r="D86" t="s">
        <v>282</v>
      </c>
      <c r="E86">
        <v>358</v>
      </c>
      <c r="F86">
        <v>35.1</v>
      </c>
      <c r="G86">
        <v>0.72</v>
      </c>
      <c r="H86">
        <v>52.19</v>
      </c>
      <c r="I86">
        <v>52.19</v>
      </c>
      <c r="J86">
        <v>0</v>
      </c>
      <c r="K86">
        <v>709</v>
      </c>
      <c r="L86">
        <v>0.34499999999999997</v>
      </c>
      <c r="M86">
        <v>3.99</v>
      </c>
      <c r="N86">
        <v>5.6</v>
      </c>
      <c r="O86">
        <v>0.01</v>
      </c>
      <c r="P86">
        <v>50</v>
      </c>
      <c r="Q86">
        <v>0.89100000000000001</v>
      </c>
      <c r="R86">
        <v>1.744</v>
      </c>
      <c r="S86">
        <v>0.41299999999999998</v>
      </c>
      <c r="T86">
        <v>1231</v>
      </c>
      <c r="U86">
        <v>4.1000000000000002E-2</v>
      </c>
      <c r="V86">
        <v>0.31</v>
      </c>
      <c r="W86">
        <v>117</v>
      </c>
      <c r="X86">
        <v>0.02</v>
      </c>
      <c r="Y86">
        <v>985</v>
      </c>
      <c r="Z86">
        <v>27.3</v>
      </c>
      <c r="AA86">
        <v>4.41</v>
      </c>
    </row>
    <row r="87" spans="1:27" x14ac:dyDescent="0.3">
      <c r="A87" s="1" t="s">
        <v>283</v>
      </c>
      <c r="B87" t="s">
        <v>28</v>
      </c>
      <c r="C87" t="s">
        <v>284</v>
      </c>
      <c r="D87" t="s">
        <v>285</v>
      </c>
      <c r="E87">
        <v>354</v>
      </c>
      <c r="F87">
        <v>35.5</v>
      </c>
      <c r="G87">
        <v>0.2</v>
      </c>
      <c r="H87">
        <v>51.8</v>
      </c>
      <c r="I87">
        <v>0</v>
      </c>
      <c r="J87">
        <v>0</v>
      </c>
      <c r="K87">
        <v>2</v>
      </c>
      <c r="L87">
        <v>0.29799999999999999</v>
      </c>
      <c r="M87">
        <v>3.98</v>
      </c>
      <c r="N87">
        <v>6.7</v>
      </c>
      <c r="O87">
        <v>0</v>
      </c>
      <c r="P87">
        <v>50</v>
      </c>
      <c r="Q87">
        <v>0.66500000000000004</v>
      </c>
      <c r="R87">
        <v>1.6419999999999999</v>
      </c>
      <c r="S87">
        <v>0.16300000000000001</v>
      </c>
      <c r="T87">
        <v>280</v>
      </c>
      <c r="U87">
        <v>1.6E-2</v>
      </c>
      <c r="V87">
        <v>0.32</v>
      </c>
      <c r="W87">
        <v>60</v>
      </c>
      <c r="X87">
        <v>8.0000000000000002E-3</v>
      </c>
      <c r="Y87">
        <v>1011</v>
      </c>
      <c r="Z87">
        <v>27.3</v>
      </c>
      <c r="AA87">
        <v>4.03</v>
      </c>
    </row>
    <row r="88" spans="1:27" x14ac:dyDescent="0.3">
      <c r="A88" s="1" t="s">
        <v>286</v>
      </c>
      <c r="B88" t="s">
        <v>28</v>
      </c>
      <c r="C88" t="s">
        <v>287</v>
      </c>
      <c r="D88" t="s">
        <v>288</v>
      </c>
      <c r="E88">
        <v>387</v>
      </c>
      <c r="F88">
        <v>34.299999999999997</v>
      </c>
      <c r="G88">
        <v>5.78</v>
      </c>
      <c r="H88">
        <v>49</v>
      </c>
      <c r="I88">
        <v>49</v>
      </c>
      <c r="J88">
        <v>0</v>
      </c>
      <c r="K88">
        <v>49</v>
      </c>
      <c r="L88">
        <v>0.33800000000000002</v>
      </c>
      <c r="M88">
        <v>3.82</v>
      </c>
      <c r="N88">
        <v>5.7</v>
      </c>
      <c r="O88">
        <v>0.1</v>
      </c>
      <c r="P88">
        <v>47</v>
      </c>
      <c r="Q88">
        <v>0.876</v>
      </c>
      <c r="R88">
        <v>1.579</v>
      </c>
      <c r="S88">
        <v>0.39200000000000002</v>
      </c>
      <c r="T88">
        <v>1184</v>
      </c>
      <c r="U88">
        <v>0.111</v>
      </c>
      <c r="V88">
        <v>0.3</v>
      </c>
      <c r="W88">
        <v>110</v>
      </c>
      <c r="X88">
        <v>2.3E-2</v>
      </c>
      <c r="Y88">
        <v>933</v>
      </c>
      <c r="Z88">
        <v>20.3</v>
      </c>
      <c r="AA88">
        <v>4.0199999999999996</v>
      </c>
    </row>
    <row r="89" spans="1:27" x14ac:dyDescent="0.3">
      <c r="A89" s="1" t="s">
        <v>289</v>
      </c>
      <c r="B89" t="s">
        <v>28</v>
      </c>
      <c r="C89" t="s">
        <v>290</v>
      </c>
      <c r="D89" t="s">
        <v>291</v>
      </c>
      <c r="E89">
        <v>321</v>
      </c>
      <c r="F89">
        <v>7.91</v>
      </c>
      <c r="G89">
        <v>8.6999999999999993</v>
      </c>
      <c r="H89">
        <v>54.4</v>
      </c>
      <c r="I89">
        <v>54.4</v>
      </c>
      <c r="J89">
        <v>0</v>
      </c>
      <c r="K89">
        <v>74</v>
      </c>
      <c r="L89">
        <v>5.0999999999999997E-2</v>
      </c>
      <c r="M89">
        <v>0.44</v>
      </c>
      <c r="N89">
        <v>2.6</v>
      </c>
      <c r="O89">
        <v>0.16</v>
      </c>
      <c r="P89">
        <v>11</v>
      </c>
      <c r="Q89">
        <v>0.21</v>
      </c>
      <c r="R89">
        <v>0.41599999999999998</v>
      </c>
      <c r="S89">
        <v>0.09</v>
      </c>
      <c r="T89">
        <v>284</v>
      </c>
      <c r="U89">
        <v>1.4999999999999999E-2</v>
      </c>
      <c r="V89">
        <v>0.19</v>
      </c>
      <c r="W89">
        <v>26</v>
      </c>
      <c r="X89">
        <v>6.0000000000000001E-3</v>
      </c>
      <c r="Y89">
        <v>253</v>
      </c>
      <c r="Z89">
        <v>14.8</v>
      </c>
      <c r="AA89">
        <v>0.94</v>
      </c>
    </row>
    <row r="90" spans="1:27" x14ac:dyDescent="0.3">
      <c r="A90" s="1" t="s">
        <v>292</v>
      </c>
      <c r="B90" t="s">
        <v>28</v>
      </c>
      <c r="C90" t="s">
        <v>293</v>
      </c>
      <c r="D90" t="s">
        <v>294</v>
      </c>
      <c r="E90">
        <v>134</v>
      </c>
      <c r="F90">
        <v>6.81</v>
      </c>
      <c r="G90">
        <v>7.56</v>
      </c>
      <c r="H90">
        <v>10.039999999999999</v>
      </c>
      <c r="I90">
        <v>10.039999999999999</v>
      </c>
      <c r="J90">
        <v>0</v>
      </c>
      <c r="K90">
        <v>65</v>
      </c>
      <c r="L90">
        <v>0.05</v>
      </c>
      <c r="M90">
        <v>0.16</v>
      </c>
      <c r="N90">
        <v>1.9</v>
      </c>
      <c r="O90">
        <v>0.14000000000000001</v>
      </c>
      <c r="P90">
        <v>8</v>
      </c>
      <c r="Q90">
        <v>0.19400000000000001</v>
      </c>
      <c r="R90">
        <v>0.316</v>
      </c>
      <c r="S90">
        <v>4.7E-2</v>
      </c>
      <c r="T90">
        <v>261</v>
      </c>
      <c r="U90">
        <v>1.6E-2</v>
      </c>
      <c r="V90">
        <v>0.19</v>
      </c>
      <c r="W90">
        <v>24</v>
      </c>
      <c r="X90">
        <v>6.0000000000000001E-3</v>
      </c>
      <c r="Y90">
        <v>203</v>
      </c>
      <c r="Z90">
        <v>2.2999999999999998</v>
      </c>
      <c r="AA90">
        <v>0.77</v>
      </c>
    </row>
    <row r="91" spans="1:27" x14ac:dyDescent="0.3">
      <c r="A91" s="1" t="s">
        <v>295</v>
      </c>
      <c r="B91" t="s">
        <v>28</v>
      </c>
      <c r="C91" t="s">
        <v>296</v>
      </c>
      <c r="D91" t="s">
        <v>297</v>
      </c>
      <c r="E91">
        <v>78</v>
      </c>
      <c r="F91">
        <v>7.55</v>
      </c>
      <c r="G91">
        <v>0.2</v>
      </c>
      <c r="H91">
        <v>11.35</v>
      </c>
      <c r="I91">
        <v>11.35</v>
      </c>
      <c r="J91">
        <v>0</v>
      </c>
      <c r="K91">
        <v>118</v>
      </c>
      <c r="L91">
        <v>5.5E-2</v>
      </c>
      <c r="M91">
        <v>0.24</v>
      </c>
      <c r="N91">
        <v>1.2</v>
      </c>
      <c r="O91">
        <v>0</v>
      </c>
      <c r="P91">
        <v>9</v>
      </c>
      <c r="Q91">
        <v>0.17399999999999999</v>
      </c>
      <c r="R91">
        <v>0.309</v>
      </c>
      <c r="S91">
        <v>4.4999999999999998E-2</v>
      </c>
      <c r="T91">
        <v>290</v>
      </c>
      <c r="U91">
        <v>1.6E-2</v>
      </c>
      <c r="V91">
        <v>0.28999999999999998</v>
      </c>
      <c r="W91">
        <v>27</v>
      </c>
      <c r="X91">
        <v>6.0000000000000001E-3</v>
      </c>
      <c r="Y91">
        <v>195</v>
      </c>
      <c r="Z91">
        <v>2.5</v>
      </c>
      <c r="AA91">
        <v>0.9</v>
      </c>
    </row>
    <row r="92" spans="1:27" x14ac:dyDescent="0.3">
      <c r="A92" s="1" t="s">
        <v>298</v>
      </c>
      <c r="B92" t="s">
        <v>28</v>
      </c>
      <c r="C92" t="s">
        <v>299</v>
      </c>
      <c r="D92" t="s">
        <v>300</v>
      </c>
      <c r="E92">
        <v>83</v>
      </c>
      <c r="F92">
        <v>3.17</v>
      </c>
      <c r="G92">
        <v>3.39</v>
      </c>
      <c r="H92">
        <v>10.34</v>
      </c>
      <c r="I92">
        <v>9.5399999999999991</v>
      </c>
      <c r="J92">
        <v>0.8</v>
      </c>
      <c r="K92">
        <v>27</v>
      </c>
      <c r="L92">
        <v>0.04</v>
      </c>
      <c r="M92">
        <v>0.33</v>
      </c>
      <c r="N92">
        <v>0.9</v>
      </c>
      <c r="O92">
        <v>7.0000000000000007E-2</v>
      </c>
      <c r="P92">
        <v>5</v>
      </c>
      <c r="Q92">
        <v>0.125</v>
      </c>
      <c r="R92">
        <v>0.16200000000000001</v>
      </c>
      <c r="S92">
        <v>3.6999999999999998E-2</v>
      </c>
      <c r="T92">
        <v>112</v>
      </c>
      <c r="U92">
        <v>6.5000000000000002E-2</v>
      </c>
      <c r="V92">
        <v>0.24</v>
      </c>
      <c r="W92">
        <v>13</v>
      </c>
      <c r="X92">
        <v>7.6999999999999999E-2</v>
      </c>
      <c r="Y92">
        <v>101</v>
      </c>
      <c r="Z92">
        <v>1.9</v>
      </c>
      <c r="AA92">
        <v>0.41</v>
      </c>
    </row>
    <row r="93" spans="1:27" x14ac:dyDescent="0.3">
      <c r="A93" s="1" t="s">
        <v>301</v>
      </c>
      <c r="B93" t="s">
        <v>28</v>
      </c>
      <c r="C93" t="s">
        <v>302</v>
      </c>
      <c r="D93" t="s">
        <v>303</v>
      </c>
      <c r="E93">
        <v>76</v>
      </c>
      <c r="F93">
        <v>2.99</v>
      </c>
      <c r="G93">
        <v>1.9</v>
      </c>
      <c r="H93">
        <v>12.13</v>
      </c>
      <c r="I93">
        <v>9.5500000000000007</v>
      </c>
      <c r="J93">
        <v>0.7</v>
      </c>
      <c r="K93">
        <v>64</v>
      </c>
      <c r="L93">
        <v>2.4E-2</v>
      </c>
      <c r="M93">
        <v>0.33</v>
      </c>
      <c r="N93">
        <v>0</v>
      </c>
      <c r="O93">
        <v>0.04</v>
      </c>
      <c r="P93">
        <v>2</v>
      </c>
      <c r="Q93">
        <v>0.16400000000000001</v>
      </c>
      <c r="R93">
        <v>0.183</v>
      </c>
      <c r="S93">
        <v>4.4999999999999998E-2</v>
      </c>
      <c r="T93">
        <v>109</v>
      </c>
      <c r="U93">
        <v>7.4999999999999997E-2</v>
      </c>
      <c r="V93">
        <v>0.24</v>
      </c>
      <c r="W93">
        <v>14</v>
      </c>
      <c r="X93">
        <v>6.2E-2</v>
      </c>
      <c r="Y93">
        <v>102</v>
      </c>
      <c r="Z93">
        <v>3.4</v>
      </c>
      <c r="AA93">
        <v>0.39</v>
      </c>
    </row>
    <row r="94" spans="1:27" x14ac:dyDescent="0.3">
      <c r="A94" s="1" t="s">
        <v>304</v>
      </c>
      <c r="B94" t="s">
        <v>28</v>
      </c>
      <c r="C94" t="s">
        <v>305</v>
      </c>
      <c r="D94" t="s">
        <v>306</v>
      </c>
      <c r="E94">
        <v>71</v>
      </c>
      <c r="F94">
        <v>3.24</v>
      </c>
      <c r="G94">
        <v>1</v>
      </c>
      <c r="H94">
        <v>12.6</v>
      </c>
      <c r="I94">
        <v>9.94</v>
      </c>
      <c r="J94">
        <v>0.5</v>
      </c>
      <c r="K94">
        <v>58</v>
      </c>
      <c r="L94">
        <v>4.1000000000000002E-2</v>
      </c>
      <c r="M94">
        <v>0.32</v>
      </c>
      <c r="N94">
        <v>0.9</v>
      </c>
      <c r="O94">
        <v>0.02</v>
      </c>
      <c r="P94">
        <v>5</v>
      </c>
      <c r="Q94">
        <v>0.127</v>
      </c>
      <c r="R94">
        <v>0.16600000000000001</v>
      </c>
      <c r="S94">
        <v>3.7999999999999999E-2</v>
      </c>
      <c r="T94">
        <v>116</v>
      </c>
      <c r="U94">
        <v>6.5000000000000002E-2</v>
      </c>
      <c r="V94">
        <v>0.27</v>
      </c>
      <c r="W94">
        <v>13</v>
      </c>
      <c r="X94">
        <v>7.6999999999999999E-2</v>
      </c>
      <c r="Y94">
        <v>103</v>
      </c>
      <c r="Z94">
        <v>1.9</v>
      </c>
      <c r="AA94">
        <v>0.41</v>
      </c>
    </row>
    <row r="95" spans="1:27" x14ac:dyDescent="0.3">
      <c r="A95" s="1" t="s">
        <v>307</v>
      </c>
      <c r="B95" t="s">
        <v>28</v>
      </c>
      <c r="C95" t="s">
        <v>308</v>
      </c>
      <c r="D95" t="s">
        <v>309</v>
      </c>
      <c r="E95">
        <v>77</v>
      </c>
      <c r="F95">
        <v>3.52</v>
      </c>
      <c r="G95">
        <v>2.34</v>
      </c>
      <c r="H95">
        <v>10.74</v>
      </c>
      <c r="I95">
        <v>9.66</v>
      </c>
      <c r="J95">
        <v>1</v>
      </c>
      <c r="K95">
        <v>51</v>
      </c>
      <c r="L95">
        <v>0.04</v>
      </c>
      <c r="M95">
        <v>0.49</v>
      </c>
      <c r="N95">
        <v>0.2</v>
      </c>
      <c r="O95">
        <v>0.03</v>
      </c>
      <c r="P95">
        <v>5</v>
      </c>
      <c r="Q95">
        <v>0.13300000000000001</v>
      </c>
      <c r="R95">
        <v>0.182</v>
      </c>
      <c r="S95">
        <v>3.9E-2</v>
      </c>
      <c r="T95">
        <v>114</v>
      </c>
      <c r="U95">
        <v>0.10299999999999999</v>
      </c>
      <c r="V95">
        <v>0.42</v>
      </c>
      <c r="W95">
        <v>23</v>
      </c>
      <c r="X95">
        <v>1.2999999999999999E-2</v>
      </c>
      <c r="Y95">
        <v>105</v>
      </c>
      <c r="Z95">
        <v>2.7</v>
      </c>
      <c r="AA95">
        <v>0.63</v>
      </c>
    </row>
    <row r="96" spans="1:27" x14ac:dyDescent="0.3">
      <c r="A96" s="1" t="s">
        <v>310</v>
      </c>
      <c r="B96" t="s">
        <v>28</v>
      </c>
      <c r="C96" t="s">
        <v>311</v>
      </c>
      <c r="D96" t="s">
        <v>312</v>
      </c>
      <c r="E96">
        <v>69</v>
      </c>
      <c r="F96">
        <v>3.56</v>
      </c>
      <c r="G96">
        <v>4.1399999999999997</v>
      </c>
      <c r="H96">
        <v>4.45</v>
      </c>
      <c r="I96">
        <v>4.45</v>
      </c>
      <c r="J96">
        <v>0</v>
      </c>
      <c r="K96">
        <v>57</v>
      </c>
      <c r="L96">
        <v>4.5999999999999999E-2</v>
      </c>
      <c r="M96">
        <v>7.0000000000000007E-2</v>
      </c>
      <c r="N96">
        <v>1.3</v>
      </c>
      <c r="O96">
        <v>7.0000000000000007E-2</v>
      </c>
      <c r="P96">
        <v>1</v>
      </c>
      <c r="Q96">
        <v>0.27700000000000002</v>
      </c>
      <c r="R96">
        <v>0.13800000000000001</v>
      </c>
      <c r="S96">
        <v>4.8000000000000001E-2</v>
      </c>
      <c r="T96">
        <v>134</v>
      </c>
      <c r="U96">
        <v>4.5999999999999999E-2</v>
      </c>
      <c r="V96">
        <v>0.05</v>
      </c>
      <c r="W96">
        <v>14</v>
      </c>
      <c r="X96">
        <v>1.7999999999999999E-2</v>
      </c>
      <c r="Y96">
        <v>111</v>
      </c>
      <c r="Z96">
        <v>1.4</v>
      </c>
      <c r="AA96">
        <v>0.3</v>
      </c>
    </row>
    <row r="97" spans="1:27" x14ac:dyDescent="0.3">
      <c r="A97" s="1" t="s">
        <v>313</v>
      </c>
      <c r="B97" t="s">
        <v>28</v>
      </c>
      <c r="C97" t="s">
        <v>314</v>
      </c>
      <c r="D97" t="s">
        <v>315</v>
      </c>
      <c r="E97">
        <v>70</v>
      </c>
      <c r="F97">
        <v>1.03</v>
      </c>
      <c r="G97">
        <v>4.38</v>
      </c>
      <c r="H97">
        <v>6.89</v>
      </c>
      <c r="I97">
        <v>6.89</v>
      </c>
      <c r="J97">
        <v>0</v>
      </c>
      <c r="K97">
        <v>61</v>
      </c>
      <c r="L97">
        <v>1.0999999999999999E-2</v>
      </c>
      <c r="M97">
        <v>0.05</v>
      </c>
      <c r="N97">
        <v>5</v>
      </c>
      <c r="O97">
        <v>0.08</v>
      </c>
      <c r="P97">
        <v>5</v>
      </c>
      <c r="Q97">
        <v>0.17699999999999999</v>
      </c>
      <c r="R97">
        <v>3.5999999999999997E-2</v>
      </c>
      <c r="S97">
        <v>1.4E-2</v>
      </c>
      <c r="T97">
        <v>32</v>
      </c>
      <c r="U97">
        <v>5.1999999999999998E-2</v>
      </c>
      <c r="V97">
        <v>0.03</v>
      </c>
      <c r="W97">
        <v>3</v>
      </c>
      <c r="X97">
        <v>2.5999999999999999E-2</v>
      </c>
      <c r="Y97">
        <v>14</v>
      </c>
      <c r="Z97">
        <v>1.8</v>
      </c>
      <c r="AA97">
        <v>0.17</v>
      </c>
    </row>
    <row r="98" spans="1:27" x14ac:dyDescent="0.3">
      <c r="A98" s="1" t="s">
        <v>316</v>
      </c>
      <c r="B98" t="s">
        <v>28</v>
      </c>
      <c r="C98" t="s">
        <v>317</v>
      </c>
      <c r="D98" t="s">
        <v>318</v>
      </c>
      <c r="E98">
        <v>97</v>
      </c>
      <c r="F98">
        <v>3.75</v>
      </c>
      <c r="G98">
        <v>6.89</v>
      </c>
      <c r="H98">
        <v>5.18</v>
      </c>
      <c r="I98">
        <v>0</v>
      </c>
      <c r="J98">
        <v>0</v>
      </c>
      <c r="K98">
        <v>53</v>
      </c>
      <c r="L98">
        <v>2.3E-2</v>
      </c>
      <c r="M98">
        <v>0.36</v>
      </c>
      <c r="N98">
        <v>2.2999999999999998</v>
      </c>
      <c r="O98">
        <v>0</v>
      </c>
      <c r="P98">
        <v>6</v>
      </c>
      <c r="Q98">
        <v>9.0999999999999998E-2</v>
      </c>
      <c r="R98">
        <v>0.13500000000000001</v>
      </c>
      <c r="S98">
        <v>5.1999999999999998E-2</v>
      </c>
      <c r="T98">
        <v>169</v>
      </c>
      <c r="U98">
        <v>4.5999999999999999E-2</v>
      </c>
      <c r="V98">
        <v>0.12</v>
      </c>
      <c r="W98">
        <v>31</v>
      </c>
      <c r="X98">
        <v>1.7999999999999999E-2</v>
      </c>
      <c r="Y98">
        <v>117</v>
      </c>
      <c r="Z98">
        <v>0</v>
      </c>
      <c r="AA98">
        <v>0.22</v>
      </c>
    </row>
    <row r="99" spans="1:27" x14ac:dyDescent="0.3">
      <c r="A99" s="1" t="s">
        <v>319</v>
      </c>
      <c r="B99" t="s">
        <v>28</v>
      </c>
      <c r="C99" t="s">
        <v>320</v>
      </c>
      <c r="D99" t="s">
        <v>321</v>
      </c>
      <c r="E99">
        <v>108</v>
      </c>
      <c r="F99">
        <v>5.98</v>
      </c>
      <c r="G99">
        <v>7</v>
      </c>
      <c r="H99">
        <v>5.36</v>
      </c>
      <c r="I99">
        <v>0</v>
      </c>
      <c r="J99">
        <v>0</v>
      </c>
      <c r="K99">
        <v>44</v>
      </c>
      <c r="L99">
        <v>0.06</v>
      </c>
      <c r="M99">
        <v>0.71</v>
      </c>
      <c r="N99">
        <v>4.2</v>
      </c>
      <c r="O99">
        <v>0</v>
      </c>
      <c r="P99">
        <v>7</v>
      </c>
      <c r="Q99">
        <v>0.41699999999999998</v>
      </c>
      <c r="R99">
        <v>0.35499999999999998</v>
      </c>
      <c r="S99">
        <v>6.5000000000000002E-2</v>
      </c>
      <c r="T99">
        <v>193</v>
      </c>
      <c r="U99">
        <v>4.5999999999999999E-2</v>
      </c>
      <c r="V99">
        <v>0.1</v>
      </c>
      <c r="W99">
        <v>18</v>
      </c>
      <c r="X99">
        <v>1.7999999999999999E-2</v>
      </c>
      <c r="Y99">
        <v>158</v>
      </c>
      <c r="Z99">
        <v>1.7</v>
      </c>
      <c r="AA99">
        <v>0.54</v>
      </c>
    </row>
    <row r="100" spans="1:27" x14ac:dyDescent="0.3">
      <c r="A100" s="1" t="s">
        <v>322</v>
      </c>
      <c r="B100" t="s">
        <v>28</v>
      </c>
      <c r="C100" t="s">
        <v>323</v>
      </c>
      <c r="D100" t="s">
        <v>324</v>
      </c>
      <c r="E100">
        <v>119</v>
      </c>
      <c r="F100">
        <v>3.05</v>
      </c>
      <c r="G100">
        <v>2.7</v>
      </c>
      <c r="H100">
        <v>21.15</v>
      </c>
      <c r="I100">
        <v>20.85</v>
      </c>
      <c r="J100">
        <v>0.3</v>
      </c>
      <c r="K100">
        <v>18</v>
      </c>
      <c r="L100">
        <v>2.5000000000000001E-2</v>
      </c>
      <c r="M100">
        <v>0.32</v>
      </c>
      <c r="N100">
        <v>0</v>
      </c>
      <c r="O100">
        <v>0.05</v>
      </c>
      <c r="P100">
        <v>5</v>
      </c>
      <c r="Q100">
        <v>0.124</v>
      </c>
      <c r="R100">
        <v>0.222</v>
      </c>
      <c r="S100">
        <v>4.7E-2</v>
      </c>
      <c r="T100">
        <v>132</v>
      </c>
      <c r="U100">
        <v>6.5000000000000002E-2</v>
      </c>
      <c r="V100">
        <v>0.31</v>
      </c>
      <c r="W100">
        <v>16</v>
      </c>
      <c r="X100">
        <v>3.9E-2</v>
      </c>
      <c r="Y100">
        <v>126</v>
      </c>
      <c r="Z100">
        <v>1.9</v>
      </c>
      <c r="AA100">
        <v>0.48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DA59-FB32-454F-952C-A227F198975F}">
  <sheetPr codeName="XLSTAT_20240405_134419_1">
    <tabColor rgb="FF007800"/>
  </sheetPr>
  <dimension ref="B1:Y616"/>
  <sheetViews>
    <sheetView tabSelected="1" topLeftCell="A199" zoomScaleNormal="100" workbookViewId="0">
      <selection activeCell="Q10" sqref="Q10"/>
    </sheetView>
  </sheetViews>
  <sheetFormatPr defaultRowHeight="14.4" x14ac:dyDescent="0.3"/>
  <cols>
    <col min="1" max="1" width="4.77734375" customWidth="1"/>
  </cols>
  <sheetData>
    <row r="1" spans="2:13" x14ac:dyDescent="0.3">
      <c r="B1" s="29" t="s">
        <v>386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2"/>
    </row>
    <row r="2" spans="2:13" x14ac:dyDescent="0.3"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2"/>
    </row>
    <row r="3" spans="2:13" x14ac:dyDescent="0.3">
      <c r="B3" t="s">
        <v>389</v>
      </c>
    </row>
    <row r="4" spans="2:13" x14ac:dyDescent="0.3">
      <c r="B4" t="s">
        <v>387</v>
      </c>
    </row>
    <row r="5" spans="2:13" x14ac:dyDescent="0.3">
      <c r="B5" t="s">
        <v>388</v>
      </c>
    </row>
    <row r="6" spans="2:13" x14ac:dyDescent="0.3">
      <c r="B6" t="s">
        <v>328</v>
      </c>
    </row>
    <row r="7" spans="2:13" x14ac:dyDescent="0.3">
      <c r="B7" t="s">
        <v>329</v>
      </c>
    </row>
    <row r="8" spans="2:13" x14ac:dyDescent="0.3">
      <c r="B8" t="s">
        <v>330</v>
      </c>
    </row>
    <row r="9" spans="2:13" x14ac:dyDescent="0.3">
      <c r="B9" t="s">
        <v>331</v>
      </c>
    </row>
    <row r="10" spans="2:13" ht="37.950000000000003" customHeight="1" x14ac:dyDescent="0.3"/>
    <row r="11" spans="2:13" ht="16.2" customHeight="1" x14ac:dyDescent="0.3">
      <c r="B11" s="28"/>
    </row>
    <row r="14" spans="2:13" x14ac:dyDescent="0.3">
      <c r="B14" s="31" t="s">
        <v>332</v>
      </c>
    </row>
    <row r="15" spans="2:13" ht="15" thickBot="1" x14ac:dyDescent="0.35"/>
    <row r="16" spans="2:13" ht="28.8" customHeight="1" x14ac:dyDescent="0.3">
      <c r="B16" s="34" t="s">
        <v>333</v>
      </c>
      <c r="C16" s="35" t="s">
        <v>334</v>
      </c>
      <c r="D16" s="35" t="s">
        <v>335</v>
      </c>
      <c r="E16" s="35" t="s">
        <v>336</v>
      </c>
      <c r="F16" s="35" t="s">
        <v>337</v>
      </c>
      <c r="G16" s="35" t="s">
        <v>338</v>
      </c>
      <c r="H16" s="35" t="s">
        <v>339</v>
      </c>
      <c r="I16" s="35" t="s">
        <v>340</v>
      </c>
    </row>
    <row r="17" spans="2:9" x14ac:dyDescent="0.3">
      <c r="B17" s="36" t="s">
        <v>4</v>
      </c>
      <c r="C17" s="38">
        <v>99</v>
      </c>
      <c r="D17" s="38">
        <v>0</v>
      </c>
      <c r="E17" s="38">
        <v>99</v>
      </c>
      <c r="F17" s="13">
        <v>34</v>
      </c>
      <c r="G17" s="13">
        <v>876</v>
      </c>
      <c r="H17" s="13">
        <v>250.26262626262627</v>
      </c>
      <c r="I17" s="13">
        <v>169.53914639510043</v>
      </c>
    </row>
    <row r="18" spans="2:9" x14ac:dyDescent="0.3">
      <c r="B18" s="33" t="s">
        <v>5</v>
      </c>
      <c r="C18" s="39">
        <v>99</v>
      </c>
      <c r="D18" s="39">
        <v>0</v>
      </c>
      <c r="E18" s="39">
        <v>99</v>
      </c>
      <c r="F18" s="14">
        <v>0.28000000000000003</v>
      </c>
      <c r="G18" s="14">
        <v>36.159999999999997</v>
      </c>
      <c r="H18" s="14">
        <v>12.772828282828277</v>
      </c>
      <c r="I18" s="14">
        <v>10.804747259781848</v>
      </c>
    </row>
    <row r="19" spans="2:9" x14ac:dyDescent="0.3">
      <c r="B19" s="33" t="s">
        <v>6</v>
      </c>
      <c r="C19" s="39">
        <v>99</v>
      </c>
      <c r="D19" s="39">
        <v>0</v>
      </c>
      <c r="E19" s="39">
        <v>99</v>
      </c>
      <c r="F19" s="14">
        <v>0</v>
      </c>
      <c r="G19" s="14">
        <v>99.48</v>
      </c>
      <c r="H19" s="14">
        <v>18.115757575757577</v>
      </c>
      <c r="I19" s="14">
        <v>17.38708047754043</v>
      </c>
    </row>
    <row r="20" spans="2:9" x14ac:dyDescent="0.3">
      <c r="B20" s="33" t="s">
        <v>7</v>
      </c>
      <c r="C20" s="39">
        <v>99</v>
      </c>
      <c r="D20" s="39">
        <v>0</v>
      </c>
      <c r="E20" s="39">
        <v>99</v>
      </c>
      <c r="F20" s="14">
        <v>0</v>
      </c>
      <c r="G20" s="14">
        <v>54.88</v>
      </c>
      <c r="H20" s="14">
        <v>9.4343434343434343</v>
      </c>
      <c r="I20" s="14">
        <v>13.596867148288105</v>
      </c>
    </row>
    <row r="21" spans="2:9" x14ac:dyDescent="0.3">
      <c r="B21" s="33" t="s">
        <v>8</v>
      </c>
      <c r="C21" s="39">
        <v>99</v>
      </c>
      <c r="D21" s="39">
        <v>0</v>
      </c>
      <c r="E21" s="39">
        <v>99</v>
      </c>
      <c r="F21" s="14">
        <v>0</v>
      </c>
      <c r="G21" s="14">
        <v>54.88</v>
      </c>
      <c r="H21" s="14">
        <v>6.7578787878787896</v>
      </c>
      <c r="I21" s="14">
        <v>12.985964108293709</v>
      </c>
    </row>
    <row r="22" spans="2:9" x14ac:dyDescent="0.3">
      <c r="B22" s="33" t="s">
        <v>9</v>
      </c>
      <c r="C22" s="39">
        <v>99</v>
      </c>
      <c r="D22" s="39">
        <v>0</v>
      </c>
      <c r="E22" s="39">
        <v>99</v>
      </c>
      <c r="F22" s="14">
        <v>0</v>
      </c>
      <c r="G22" s="14">
        <v>1</v>
      </c>
      <c r="H22" s="14">
        <v>3.6363636363636362E-2</v>
      </c>
      <c r="I22" s="14">
        <v>0.15613609020400426</v>
      </c>
    </row>
    <row r="23" spans="2:9" x14ac:dyDescent="0.3">
      <c r="B23" s="33" t="s">
        <v>10</v>
      </c>
      <c r="C23" s="39">
        <v>99</v>
      </c>
      <c r="D23" s="39">
        <v>0</v>
      </c>
      <c r="E23" s="39">
        <v>99</v>
      </c>
      <c r="F23" s="14">
        <v>0</v>
      </c>
      <c r="G23" s="14">
        <v>840</v>
      </c>
      <c r="H23" s="14">
        <v>154.48484848484847</v>
      </c>
      <c r="I23" s="14">
        <v>161.49754301766362</v>
      </c>
    </row>
    <row r="24" spans="2:9" x14ac:dyDescent="0.3">
      <c r="B24" s="33" t="s">
        <v>11</v>
      </c>
      <c r="C24" s="39">
        <v>99</v>
      </c>
      <c r="D24" s="39">
        <v>0</v>
      </c>
      <c r="E24" s="39">
        <v>99</v>
      </c>
      <c r="F24" s="14">
        <v>0</v>
      </c>
      <c r="G24" s="14">
        <v>0.56699999999999995</v>
      </c>
      <c r="H24" s="14">
        <v>7.8131313131313163E-2</v>
      </c>
      <c r="I24" s="14">
        <v>9.7315251071531605E-2</v>
      </c>
    </row>
    <row r="25" spans="2:9" x14ac:dyDescent="0.3">
      <c r="B25" s="33" t="s">
        <v>12</v>
      </c>
      <c r="C25" s="39">
        <v>99</v>
      </c>
      <c r="D25" s="39">
        <v>0</v>
      </c>
      <c r="E25" s="39">
        <v>99</v>
      </c>
      <c r="F25" s="14">
        <v>0</v>
      </c>
      <c r="G25" s="14">
        <v>4.03</v>
      </c>
      <c r="H25" s="14">
        <v>0.87676767676767675</v>
      </c>
      <c r="I25" s="14">
        <v>0.94447785843131171</v>
      </c>
    </row>
    <row r="26" spans="2:9" x14ac:dyDescent="0.3">
      <c r="B26" s="33" t="s">
        <v>13</v>
      </c>
      <c r="C26" s="39">
        <v>99</v>
      </c>
      <c r="D26" s="39">
        <v>0</v>
      </c>
      <c r="E26" s="39">
        <v>99</v>
      </c>
      <c r="F26" s="14">
        <v>0</v>
      </c>
      <c r="G26" s="14">
        <v>8.6</v>
      </c>
      <c r="H26" s="14">
        <v>0.77979797979797993</v>
      </c>
      <c r="I26" s="14">
        <v>1.6256854000684993</v>
      </c>
    </row>
    <row r="27" spans="2:9" x14ac:dyDescent="0.3">
      <c r="B27" s="33" t="s">
        <v>14</v>
      </c>
      <c r="C27" s="39">
        <v>99</v>
      </c>
      <c r="D27" s="39">
        <v>0</v>
      </c>
      <c r="E27" s="39">
        <v>99</v>
      </c>
      <c r="F27" s="14">
        <v>0</v>
      </c>
      <c r="G27" s="14">
        <v>2.8</v>
      </c>
      <c r="H27" s="14">
        <v>0.31636363636363635</v>
      </c>
      <c r="I27" s="14">
        <v>0.49144197354120106</v>
      </c>
    </row>
    <row r="28" spans="2:9" x14ac:dyDescent="0.3">
      <c r="B28" s="33" t="s">
        <v>15</v>
      </c>
      <c r="C28" s="39">
        <v>99</v>
      </c>
      <c r="D28" s="39">
        <v>0</v>
      </c>
      <c r="E28" s="39">
        <v>99</v>
      </c>
      <c r="F28" s="14">
        <v>0</v>
      </c>
      <c r="G28" s="14">
        <v>65</v>
      </c>
      <c r="H28" s="14">
        <v>12.232323232323234</v>
      </c>
      <c r="I28" s="14">
        <v>14.494776175721055</v>
      </c>
    </row>
    <row r="29" spans="2:9" x14ac:dyDescent="0.3">
      <c r="B29" s="33" t="s">
        <v>16</v>
      </c>
      <c r="C29" s="39">
        <v>99</v>
      </c>
      <c r="D29" s="39">
        <v>0</v>
      </c>
      <c r="E29" s="39">
        <v>99</v>
      </c>
      <c r="F29" s="14">
        <v>0</v>
      </c>
      <c r="G29" s="14">
        <v>5.56</v>
      </c>
      <c r="H29" s="14">
        <v>0.2315555555555556</v>
      </c>
      <c r="I29" s="14">
        <v>0.58861314384455943</v>
      </c>
    </row>
    <row r="30" spans="2:9" x14ac:dyDescent="0.3">
      <c r="B30" s="33" t="s">
        <v>17</v>
      </c>
      <c r="C30" s="39">
        <v>99</v>
      </c>
      <c r="D30" s="39">
        <v>0</v>
      </c>
      <c r="E30" s="39">
        <v>99</v>
      </c>
      <c r="F30" s="14">
        <v>0</v>
      </c>
      <c r="G30" s="14">
        <v>1.744</v>
      </c>
      <c r="H30" s="14">
        <v>0.31514141414141422</v>
      </c>
      <c r="I30" s="14">
        <v>0.34282050429536265</v>
      </c>
    </row>
    <row r="31" spans="2:9" x14ac:dyDescent="0.3">
      <c r="B31" s="33" t="s">
        <v>18</v>
      </c>
      <c r="C31" s="39">
        <v>99</v>
      </c>
      <c r="D31" s="39">
        <v>0</v>
      </c>
      <c r="E31" s="39">
        <v>99</v>
      </c>
      <c r="F31" s="14">
        <v>0</v>
      </c>
      <c r="G31" s="14">
        <v>0.41499999999999998</v>
      </c>
      <c r="H31" s="14">
        <v>5.3898989898989912E-2</v>
      </c>
      <c r="I31" s="14">
        <v>8.5937506357639235E-2</v>
      </c>
    </row>
    <row r="32" spans="2:9" x14ac:dyDescent="0.3">
      <c r="B32" s="33" t="s">
        <v>19</v>
      </c>
      <c r="C32" s="39">
        <v>99</v>
      </c>
      <c r="D32" s="39">
        <v>0</v>
      </c>
      <c r="E32" s="39">
        <v>99</v>
      </c>
      <c r="F32" s="14">
        <v>3</v>
      </c>
      <c r="G32" s="14">
        <v>1257</v>
      </c>
      <c r="H32" s="14">
        <v>365.04040404040421</v>
      </c>
      <c r="I32" s="14">
        <v>344.82281516897859</v>
      </c>
    </row>
    <row r="33" spans="2:25" x14ac:dyDescent="0.3">
      <c r="B33" s="33" t="s">
        <v>20</v>
      </c>
      <c r="C33" s="39">
        <v>99</v>
      </c>
      <c r="D33" s="39">
        <v>0</v>
      </c>
      <c r="E33" s="39">
        <v>99</v>
      </c>
      <c r="F33" s="14">
        <v>0</v>
      </c>
      <c r="G33" s="14">
        <v>0.55900000000000005</v>
      </c>
      <c r="H33" s="14">
        <v>3.6383838383838379E-2</v>
      </c>
      <c r="I33" s="14">
        <v>5.8228562153144356E-2</v>
      </c>
    </row>
    <row r="34" spans="2:25" x14ac:dyDescent="0.3">
      <c r="B34" s="33" t="s">
        <v>21</v>
      </c>
      <c r="C34" s="39">
        <v>99</v>
      </c>
      <c r="D34" s="39">
        <v>0</v>
      </c>
      <c r="E34" s="39">
        <v>99</v>
      </c>
      <c r="F34" s="14">
        <v>0</v>
      </c>
      <c r="G34" s="14">
        <v>1.1499999999999999</v>
      </c>
      <c r="H34" s="14">
        <v>0.25818181818181835</v>
      </c>
      <c r="I34" s="14">
        <v>0.23371604800402496</v>
      </c>
    </row>
    <row r="35" spans="2:25" x14ac:dyDescent="0.3">
      <c r="B35" s="33" t="s">
        <v>22</v>
      </c>
      <c r="C35" s="39">
        <v>99</v>
      </c>
      <c r="D35" s="39">
        <v>0</v>
      </c>
      <c r="E35" s="39">
        <v>99</v>
      </c>
      <c r="F35" s="14">
        <v>0</v>
      </c>
      <c r="G35" s="14">
        <v>117</v>
      </c>
      <c r="H35" s="14">
        <v>22.404040404040398</v>
      </c>
      <c r="I35" s="14">
        <v>23.135765753005508</v>
      </c>
    </row>
    <row r="36" spans="2:25" x14ac:dyDescent="0.3">
      <c r="B36" s="33" t="s">
        <v>23</v>
      </c>
      <c r="C36" s="39">
        <v>99</v>
      </c>
      <c r="D36" s="39">
        <v>0</v>
      </c>
      <c r="E36" s="39">
        <v>99</v>
      </c>
      <c r="F36" s="14">
        <v>0</v>
      </c>
      <c r="G36" s="14">
        <v>0.22500000000000001</v>
      </c>
      <c r="H36" s="14">
        <v>2.2171717171717179E-2</v>
      </c>
      <c r="I36" s="14">
        <v>3.575256246105217E-2</v>
      </c>
    </row>
    <row r="37" spans="2:25" x14ac:dyDescent="0.3">
      <c r="B37" s="33" t="s">
        <v>24</v>
      </c>
      <c r="C37" s="39">
        <v>99</v>
      </c>
      <c r="D37" s="39">
        <v>0</v>
      </c>
      <c r="E37" s="39">
        <v>99</v>
      </c>
      <c r="F37" s="14">
        <v>3</v>
      </c>
      <c r="G37" s="14">
        <v>1011</v>
      </c>
      <c r="H37" s="14">
        <v>292.95959595959602</v>
      </c>
      <c r="I37" s="14">
        <v>258.07509266276799</v>
      </c>
    </row>
    <row r="38" spans="2:25" x14ac:dyDescent="0.3">
      <c r="B38" s="33" t="s">
        <v>25</v>
      </c>
      <c r="C38" s="39">
        <v>99</v>
      </c>
      <c r="D38" s="39">
        <v>0</v>
      </c>
      <c r="E38" s="39">
        <v>99</v>
      </c>
      <c r="F38" s="14">
        <v>0</v>
      </c>
      <c r="G38" s="14">
        <v>34.4</v>
      </c>
      <c r="H38" s="14">
        <v>9.3060606060606048</v>
      </c>
      <c r="I38" s="14">
        <v>8.2061303389080127</v>
      </c>
    </row>
    <row r="39" spans="2:25" ht="15" thickBot="1" x14ac:dyDescent="0.35">
      <c r="B39" s="37" t="s">
        <v>26</v>
      </c>
      <c r="C39" s="40">
        <v>99</v>
      </c>
      <c r="D39" s="40">
        <v>0</v>
      </c>
      <c r="E39" s="40">
        <v>99</v>
      </c>
      <c r="F39" s="15">
        <v>0.01</v>
      </c>
      <c r="G39" s="15">
        <v>4.41</v>
      </c>
      <c r="H39" s="15">
        <v>1.5740404040404041</v>
      </c>
      <c r="I39" s="15">
        <v>1.4256906090160553</v>
      </c>
    </row>
    <row r="42" spans="2:25" x14ac:dyDescent="0.3">
      <c r="B42" s="3" t="s">
        <v>344</v>
      </c>
    </row>
    <row r="44" spans="2:25" x14ac:dyDescent="0.3">
      <c r="B44" s="31" t="s">
        <v>345</v>
      </c>
    </row>
    <row r="45" spans="2:25" ht="15" thickBot="1" x14ac:dyDescent="0.35"/>
    <row r="46" spans="2:25" x14ac:dyDescent="0.3">
      <c r="B46" s="34"/>
      <c r="C46" s="35" t="s">
        <v>346</v>
      </c>
      <c r="D46" s="35" t="s">
        <v>347</v>
      </c>
      <c r="E46" s="35" t="s">
        <v>348</v>
      </c>
      <c r="F46" s="35" t="s">
        <v>349</v>
      </c>
      <c r="G46" s="35" t="s">
        <v>350</v>
      </c>
      <c r="H46" s="35" t="s">
        <v>351</v>
      </c>
      <c r="I46" s="35" t="s">
        <v>352</v>
      </c>
      <c r="J46" s="35" t="s">
        <v>353</v>
      </c>
      <c r="K46" s="35" t="s">
        <v>354</v>
      </c>
      <c r="L46" s="35" t="s">
        <v>355</v>
      </c>
      <c r="M46" s="35" t="s">
        <v>356</v>
      </c>
      <c r="N46" s="35" t="s">
        <v>357</v>
      </c>
      <c r="O46" s="35" t="s">
        <v>358</v>
      </c>
      <c r="P46" s="35" t="s">
        <v>359</v>
      </c>
      <c r="Q46" s="35" t="s">
        <v>360</v>
      </c>
      <c r="R46" s="35" t="s">
        <v>361</v>
      </c>
      <c r="S46" s="35" t="s">
        <v>362</v>
      </c>
      <c r="T46" s="35" t="s">
        <v>363</v>
      </c>
      <c r="U46" s="35" t="s">
        <v>364</v>
      </c>
      <c r="V46" s="35" t="s">
        <v>365</v>
      </c>
      <c r="W46" s="35" t="s">
        <v>366</v>
      </c>
      <c r="X46" s="35" t="s">
        <v>367</v>
      </c>
      <c r="Y46" s="35" t="s">
        <v>368</v>
      </c>
    </row>
    <row r="47" spans="2:25" x14ac:dyDescent="0.3">
      <c r="B47" s="41" t="s">
        <v>369</v>
      </c>
      <c r="C47" s="18">
        <v>9.3111533651157821</v>
      </c>
      <c r="D47" s="18">
        <v>3.8737405766953117</v>
      </c>
      <c r="E47" s="18">
        <v>2.5728918034889445</v>
      </c>
      <c r="F47" s="18">
        <v>1.9501098736681799</v>
      </c>
      <c r="G47" s="18">
        <v>1.6800400499179158</v>
      </c>
      <c r="H47" s="18">
        <v>0.89674381248559076</v>
      </c>
      <c r="I47" s="18">
        <v>0.68466632869620492</v>
      </c>
      <c r="J47" s="18">
        <v>0.45822211329049872</v>
      </c>
      <c r="K47" s="18">
        <v>0.32419884632881429</v>
      </c>
      <c r="L47" s="18">
        <v>0.28803768242112798</v>
      </c>
      <c r="M47" s="18">
        <v>0.23111669781001046</v>
      </c>
      <c r="N47" s="18">
        <v>0.16700592328589423</v>
      </c>
      <c r="O47" s="18">
        <v>0.13585820342109856</v>
      </c>
      <c r="P47" s="18">
        <v>0.1245586020456305</v>
      </c>
      <c r="Q47" s="18">
        <v>8.407274942432777E-2</v>
      </c>
      <c r="R47" s="18">
        <v>6.9928853180730374E-2</v>
      </c>
      <c r="S47" s="18">
        <v>4.3707670372802369E-2</v>
      </c>
      <c r="T47" s="18">
        <v>3.08819280064128E-2</v>
      </c>
      <c r="U47" s="18">
        <v>2.8625895625976932E-2</v>
      </c>
      <c r="V47" s="18">
        <v>1.8454168726515278E-2</v>
      </c>
      <c r="W47" s="18">
        <v>1.5142074828655061E-2</v>
      </c>
      <c r="X47" s="18">
        <v>1.0839743429183217E-2</v>
      </c>
      <c r="Y47" s="18">
        <v>3.0377344012215583E-6</v>
      </c>
    </row>
    <row r="48" spans="2:25" x14ac:dyDescent="0.3">
      <c r="B48" s="32" t="s">
        <v>370</v>
      </c>
      <c r="C48" s="19">
        <v>40.483275500503368</v>
      </c>
      <c r="D48" s="19">
        <v>16.842350333457865</v>
      </c>
      <c r="E48" s="19">
        <v>11.186486102125837</v>
      </c>
      <c r="F48" s="19">
        <v>8.4787385811659934</v>
      </c>
      <c r="G48" s="19">
        <v>7.3045219561648453</v>
      </c>
      <c r="H48" s="19">
        <v>3.8988861412416962</v>
      </c>
      <c r="I48" s="19">
        <v>2.9768101247661058</v>
      </c>
      <c r="J48" s="19">
        <v>1.9922700577847756</v>
      </c>
      <c r="K48" s="19">
        <v>1.4095602014296262</v>
      </c>
      <c r="L48" s="19">
        <v>1.2523377496570771</v>
      </c>
      <c r="M48" s="19">
        <v>1.00485520786961</v>
      </c>
      <c r="N48" s="19">
        <v>0.72611270993866994</v>
      </c>
      <c r="O48" s="19">
        <v>0.59068784096129756</v>
      </c>
      <c r="P48" s="19">
        <v>0.54155913932882782</v>
      </c>
      <c r="Q48" s="19">
        <v>0.36553369314925088</v>
      </c>
      <c r="R48" s="19">
        <v>0.30403849209013184</v>
      </c>
      <c r="S48" s="19">
        <v>0.19003334944696668</v>
      </c>
      <c r="T48" s="19">
        <v>0.13426925220179467</v>
      </c>
      <c r="U48" s="19">
        <v>0.124460415765117</v>
      </c>
      <c r="V48" s="19">
        <v>8.0235516202240273E-2</v>
      </c>
      <c r="W48" s="19">
        <v>6.5835107950674127E-2</v>
      </c>
      <c r="X48" s="19">
        <v>4.7129319257318301E-2</v>
      </c>
      <c r="Y48" s="19">
        <v>1.3207540874876331E-5</v>
      </c>
    </row>
    <row r="49" spans="2:25" ht="15" thickBot="1" x14ac:dyDescent="0.35">
      <c r="B49" s="42" t="s">
        <v>371</v>
      </c>
      <c r="C49" s="20">
        <v>40.483275500503368</v>
      </c>
      <c r="D49" s="20">
        <v>57.325625833961233</v>
      </c>
      <c r="E49" s="20">
        <v>68.512111936087067</v>
      </c>
      <c r="F49" s="20">
        <v>76.990850517253065</v>
      </c>
      <c r="G49" s="20">
        <v>84.295372473417913</v>
      </c>
      <c r="H49" s="20">
        <v>88.194258614659603</v>
      </c>
      <c r="I49" s="20">
        <v>91.171068739425706</v>
      </c>
      <c r="J49" s="20">
        <v>93.163338797210486</v>
      </c>
      <c r="K49" s="20">
        <v>94.572898998640113</v>
      </c>
      <c r="L49" s="20">
        <v>95.825236748297186</v>
      </c>
      <c r="M49" s="20">
        <v>96.830091956166797</v>
      </c>
      <c r="N49" s="20">
        <v>97.556204666105472</v>
      </c>
      <c r="O49" s="20">
        <v>98.146892507066767</v>
      </c>
      <c r="P49" s="20">
        <v>98.688451646395592</v>
      </c>
      <c r="Q49" s="20">
        <v>99.053985339544838</v>
      </c>
      <c r="R49" s="20">
        <v>99.358023831634966</v>
      </c>
      <c r="S49" s="20">
        <v>99.54805718108193</v>
      </c>
      <c r="T49" s="20">
        <v>99.68232643328372</v>
      </c>
      <c r="U49" s="20">
        <v>99.806786849048834</v>
      </c>
      <c r="V49" s="20">
        <v>99.88702236525107</v>
      </c>
      <c r="W49" s="20">
        <v>99.952857473201746</v>
      </c>
      <c r="X49" s="20">
        <v>99.999986792459069</v>
      </c>
      <c r="Y49" s="20">
        <v>99.999999999999943</v>
      </c>
    </row>
    <row r="69" spans="2:7" x14ac:dyDescent="0.3">
      <c r="G69" t="s">
        <v>372</v>
      </c>
    </row>
    <row r="72" spans="2:7" x14ac:dyDescent="0.3">
      <c r="B72" s="31" t="s">
        <v>373</v>
      </c>
    </row>
    <row r="73" spans="2:7" ht="15" thickBot="1" x14ac:dyDescent="0.35"/>
    <row r="74" spans="2:7" x14ac:dyDescent="0.3">
      <c r="B74" s="34"/>
      <c r="C74" s="35" t="s">
        <v>346</v>
      </c>
      <c r="D74" s="35" t="s">
        <v>347</v>
      </c>
      <c r="E74" s="35" t="s">
        <v>348</v>
      </c>
      <c r="F74" s="35" t="s">
        <v>349</v>
      </c>
      <c r="G74" s="35" t="s">
        <v>350</v>
      </c>
    </row>
    <row r="75" spans="2:7" x14ac:dyDescent="0.3">
      <c r="B75" s="41" t="s">
        <v>4</v>
      </c>
      <c r="C75" s="18">
        <v>0.13696656518116734</v>
      </c>
      <c r="D75" s="18">
        <v>0.38300575926704716</v>
      </c>
      <c r="E75" s="18">
        <v>0.29737321157067437</v>
      </c>
      <c r="F75" s="18">
        <v>2.0176643219293924E-2</v>
      </c>
      <c r="G75" s="18">
        <v>6.1013112422401289E-3</v>
      </c>
    </row>
    <row r="76" spans="2:7" x14ac:dyDescent="0.3">
      <c r="B76" s="32" t="s">
        <v>5</v>
      </c>
      <c r="C76" s="19">
        <v>0.28056131844176718</v>
      </c>
      <c r="D76" s="19">
        <v>0.15816908950269806</v>
      </c>
      <c r="E76" s="19">
        <v>-0.1866930186632984</v>
      </c>
      <c r="F76" s="19">
        <v>-8.8620767953187449E-2</v>
      </c>
      <c r="G76" s="19">
        <v>7.9063167550296021E-2</v>
      </c>
    </row>
    <row r="77" spans="2:7" x14ac:dyDescent="0.3">
      <c r="B77" s="32" t="s">
        <v>6</v>
      </c>
      <c r="C77" s="19">
        <v>1.374410314118937E-2</v>
      </c>
      <c r="D77" s="19">
        <v>0.44660328149873607</v>
      </c>
      <c r="E77" s="19">
        <v>0.24856890587393196</v>
      </c>
      <c r="F77" s="19">
        <v>0.13757714944720831</v>
      </c>
      <c r="G77" s="19">
        <v>-7.7894874891122831E-3</v>
      </c>
    </row>
    <row r="78" spans="2:7" x14ac:dyDescent="0.3">
      <c r="B78" s="32" t="s">
        <v>7</v>
      </c>
      <c r="C78" s="19">
        <v>0.15635838607289804</v>
      </c>
      <c r="D78" s="19">
        <v>-0.20329717401195549</v>
      </c>
      <c r="E78" s="19">
        <v>0.3978656428592362</v>
      </c>
      <c r="F78" s="19">
        <v>-0.25175693409411209</v>
      </c>
      <c r="G78" s="19">
        <v>-2.4641451849503029E-2</v>
      </c>
    </row>
    <row r="79" spans="2:7" x14ac:dyDescent="0.3">
      <c r="B79" s="32" t="s">
        <v>8</v>
      </c>
      <c r="C79" s="19">
        <v>0.115213659056219</v>
      </c>
      <c r="D79" s="19">
        <v>-0.18169471259261313</v>
      </c>
      <c r="E79" s="19">
        <v>0.42798672827265083</v>
      </c>
      <c r="F79" s="19">
        <v>-0.24968118095122441</v>
      </c>
      <c r="G79" s="19">
        <v>-2.6045921631588282E-3</v>
      </c>
    </row>
    <row r="80" spans="2:7" x14ac:dyDescent="0.3">
      <c r="B80" s="32" t="s">
        <v>9</v>
      </c>
      <c r="C80" s="19">
        <v>-4.7514524034925912E-2</v>
      </c>
      <c r="D80" s="19">
        <v>-0.13111470788443472</v>
      </c>
      <c r="E80" s="19">
        <v>3.4217824886728948E-2</v>
      </c>
      <c r="F80" s="19">
        <v>-7.7069326969584975E-2</v>
      </c>
      <c r="G80" s="19">
        <v>0.290041997842655</v>
      </c>
    </row>
    <row r="81" spans="2:7" x14ac:dyDescent="0.3">
      <c r="B81" s="32" t="s">
        <v>10</v>
      </c>
      <c r="C81" s="19">
        <v>7.9049844000773486E-2</v>
      </c>
      <c r="D81" s="19">
        <v>0.37215951331503783</v>
      </c>
      <c r="E81" s="19">
        <v>0.13790596251666234</v>
      </c>
      <c r="F81" s="19">
        <v>0.20766045433262958</v>
      </c>
      <c r="G81" s="19">
        <v>-0.20024585143171281</v>
      </c>
    </row>
    <row r="82" spans="2:7" x14ac:dyDescent="0.3">
      <c r="B82" s="32" t="s">
        <v>11</v>
      </c>
      <c r="C82" s="19">
        <v>0.27175341743706499</v>
      </c>
      <c r="D82" s="19">
        <v>-0.13809486223449777</v>
      </c>
      <c r="E82" s="19">
        <v>1.4793465090665366E-2</v>
      </c>
      <c r="F82" s="19">
        <v>0.24565727479769817</v>
      </c>
      <c r="G82" s="19">
        <v>-1.762408193135342E-3</v>
      </c>
    </row>
    <row r="83" spans="2:7" x14ac:dyDescent="0.3">
      <c r="B83" s="32" t="s">
        <v>12</v>
      </c>
      <c r="C83" s="19">
        <v>0.2974778922775706</v>
      </c>
      <c r="D83" s="19">
        <v>1.8083633709968622E-4</v>
      </c>
      <c r="E83" s="19">
        <v>-4.9448975615990272E-2</v>
      </c>
      <c r="F83" s="19">
        <v>-3.8551587264580668E-2</v>
      </c>
      <c r="G83" s="19">
        <v>-0.11362213669402232</v>
      </c>
    </row>
    <row r="84" spans="2:7" x14ac:dyDescent="0.3">
      <c r="B84" s="32" t="s">
        <v>13</v>
      </c>
      <c r="C84" s="19">
        <v>0.16024660093837867</v>
      </c>
      <c r="D84" s="19">
        <v>-0.22449495851655385</v>
      </c>
      <c r="E84" s="19">
        <v>0.14535888651981269</v>
      </c>
      <c r="F84" s="19">
        <v>-0.1347815934938498</v>
      </c>
      <c r="G84" s="19">
        <v>-0.38470565370633614</v>
      </c>
    </row>
    <row r="85" spans="2:7" x14ac:dyDescent="0.3">
      <c r="B85" s="32" t="s">
        <v>14</v>
      </c>
      <c r="C85" s="19">
        <v>-6.3472057783165947E-2</v>
      </c>
      <c r="D85" s="19">
        <v>0.29133526281181144</v>
      </c>
      <c r="E85" s="19">
        <v>0.40442958336063806</v>
      </c>
      <c r="F85" s="19">
        <v>0.20645781763898446</v>
      </c>
      <c r="G85" s="19">
        <v>-0.10748438843355945</v>
      </c>
    </row>
    <row r="86" spans="2:7" x14ac:dyDescent="0.3">
      <c r="B86" s="32" t="s">
        <v>15</v>
      </c>
      <c r="C86" s="19">
        <v>0.22154180647834187</v>
      </c>
      <c r="D86" s="19">
        <v>9.7795593328661549E-3</v>
      </c>
      <c r="E86" s="19">
        <v>-5.9988365155208001E-2</v>
      </c>
      <c r="F86" s="19">
        <v>-3.9512061416078555E-2</v>
      </c>
      <c r="G86" s="19">
        <v>-0.18820629392855814</v>
      </c>
    </row>
    <row r="87" spans="2:7" x14ac:dyDescent="0.3">
      <c r="B87" s="32" t="s">
        <v>16</v>
      </c>
      <c r="C87" s="19">
        <v>0.16399412685051198</v>
      </c>
      <c r="D87" s="19">
        <v>-0.18267956681564546</v>
      </c>
      <c r="E87" s="19">
        <v>4.1610805835093655E-2</v>
      </c>
      <c r="F87" s="19">
        <v>0.5093379385143203</v>
      </c>
      <c r="G87" s="19">
        <v>0.20216609481575559</v>
      </c>
    </row>
    <row r="88" spans="2:7" x14ac:dyDescent="0.3">
      <c r="B88" s="32" t="s">
        <v>17</v>
      </c>
      <c r="C88" s="19">
        <v>0.29422148618141292</v>
      </c>
      <c r="D88" s="19">
        <v>-9.6902746389795069E-2</v>
      </c>
      <c r="E88" s="19">
        <v>4.4743335734718115E-2</v>
      </c>
      <c r="F88" s="19">
        <v>-6.8898806578807856E-2</v>
      </c>
      <c r="G88" s="19">
        <v>-0.18341350638677287</v>
      </c>
    </row>
    <row r="89" spans="2:7" x14ac:dyDescent="0.3">
      <c r="B89" s="32" t="s">
        <v>18</v>
      </c>
      <c r="C89" s="19">
        <v>0.2573263883733139</v>
      </c>
      <c r="D89" s="19">
        <v>-0.22109330879090236</v>
      </c>
      <c r="E89" s="19">
        <v>0.13594202861780785</v>
      </c>
      <c r="F89" s="19">
        <v>0.17286003173277556</v>
      </c>
      <c r="G89" s="19">
        <v>-0.12411508311323516</v>
      </c>
    </row>
    <row r="90" spans="2:7" x14ac:dyDescent="0.3">
      <c r="B90" s="32" t="s">
        <v>19</v>
      </c>
      <c r="C90" s="19">
        <v>0.27539349764462839</v>
      </c>
      <c r="D90" s="19">
        <v>0.14320545557968667</v>
      </c>
      <c r="E90" s="19">
        <v>-0.1516845898228335</v>
      </c>
      <c r="F90" s="19">
        <v>-4.280204948206081E-2</v>
      </c>
      <c r="G90" s="19">
        <v>9.3916938734034713E-2</v>
      </c>
    </row>
    <row r="91" spans="2:7" x14ac:dyDescent="0.3">
      <c r="B91" s="32" t="s">
        <v>20</v>
      </c>
      <c r="C91" s="19">
        <v>0.11705371608405751</v>
      </c>
      <c r="D91" s="19">
        <v>-0.1762965388613183</v>
      </c>
      <c r="E91" s="19">
        <v>0.12988926199292813</v>
      </c>
      <c r="F91" s="19">
        <v>0.41596817410773274</v>
      </c>
      <c r="G91" s="19">
        <v>0.43937854284738304</v>
      </c>
    </row>
    <row r="92" spans="2:7" x14ac:dyDescent="0.3">
      <c r="B92" s="32" t="s">
        <v>21</v>
      </c>
      <c r="C92" s="19">
        <v>0.14916212570338416</v>
      </c>
      <c r="D92" s="19">
        <v>0.17253390982311592</v>
      </c>
      <c r="E92" s="19">
        <v>-4.9470507070571462E-2</v>
      </c>
      <c r="F92" s="19">
        <v>-0.27309240340863844</v>
      </c>
      <c r="G92" s="19">
        <v>0.38459558818606071</v>
      </c>
    </row>
    <row r="93" spans="2:7" x14ac:dyDescent="0.3">
      <c r="B93" s="32" t="s">
        <v>22</v>
      </c>
      <c r="C93" s="19">
        <v>0.30004186825050083</v>
      </c>
      <c r="D93" s="19">
        <v>-0.12520027832122069</v>
      </c>
      <c r="E93" s="19">
        <v>4.2642463716372501E-2</v>
      </c>
      <c r="F93" s="19">
        <v>0.10749948337368601</v>
      </c>
      <c r="G93" s="19">
        <v>-2.4831263707052152E-2</v>
      </c>
    </row>
    <row r="94" spans="2:7" x14ac:dyDescent="0.3">
      <c r="B94" s="32" t="s">
        <v>23</v>
      </c>
      <c r="C94" s="19">
        <v>1.6857332735067889E-3</v>
      </c>
      <c r="D94" s="19">
        <v>-1.3030725383865249E-2</v>
      </c>
      <c r="E94" s="19">
        <v>0.35741489675832439</v>
      </c>
      <c r="F94" s="19">
        <v>-0.28391281657405465</v>
      </c>
      <c r="G94" s="19">
        <v>0.443685053654781</v>
      </c>
    </row>
    <row r="95" spans="2:7" x14ac:dyDescent="0.3">
      <c r="B95" s="32" t="s">
        <v>24</v>
      </c>
      <c r="C95" s="19">
        <v>0.2894807797895359</v>
      </c>
      <c r="D95" s="19">
        <v>0.10847432245729861</v>
      </c>
      <c r="E95" s="19">
        <v>-8.815990162995066E-2</v>
      </c>
      <c r="F95" s="19">
        <v>-0.17202809444068376</v>
      </c>
      <c r="G95" s="19">
        <v>3.8616531056970063E-2</v>
      </c>
    </row>
    <row r="96" spans="2:7" x14ac:dyDescent="0.3">
      <c r="B96" s="32" t="s">
        <v>25</v>
      </c>
      <c r="C96" s="19">
        <v>0.26914463888810924</v>
      </c>
      <c r="D96" s="19">
        <v>0.14098361164431153</v>
      </c>
      <c r="E96" s="19">
        <v>-0.16874846706943361</v>
      </c>
      <c r="F96" s="19">
        <v>-9.0940900937295302E-2</v>
      </c>
      <c r="G96" s="19">
        <v>6.8416133132916709E-2</v>
      </c>
    </row>
    <row r="97" spans="2:7" ht="15" thickBot="1" x14ac:dyDescent="0.35">
      <c r="B97" s="42" t="s">
        <v>26</v>
      </c>
      <c r="C97" s="20">
        <v>0.27792240352451486</v>
      </c>
      <c r="D97" s="20">
        <v>0.15449810707624109</v>
      </c>
      <c r="E97" s="20">
        <v>-0.17877972972718495</v>
      </c>
      <c r="F97" s="20">
        <v>-1.7912487252796157E-2</v>
      </c>
      <c r="G97" s="20">
        <v>0.1325875029195481</v>
      </c>
    </row>
    <row r="100" spans="2:7" x14ac:dyDescent="0.3">
      <c r="B100" s="31" t="s">
        <v>374</v>
      </c>
    </row>
    <row r="101" spans="2:7" ht="15" thickBot="1" x14ac:dyDescent="0.35"/>
    <row r="102" spans="2:7" x14ac:dyDescent="0.3">
      <c r="B102" s="34"/>
      <c r="C102" s="35" t="s">
        <v>346</v>
      </c>
      <c r="D102" s="35" t="s">
        <v>347</v>
      </c>
      <c r="E102" s="35" t="s">
        <v>348</v>
      </c>
      <c r="F102" s="35" t="s">
        <v>349</v>
      </c>
      <c r="G102" s="35" t="s">
        <v>350</v>
      </c>
    </row>
    <row r="103" spans="2:7" x14ac:dyDescent="0.3">
      <c r="B103" s="41" t="s">
        <v>4</v>
      </c>
      <c r="C103" s="18">
        <v>0.41794227727735772</v>
      </c>
      <c r="D103" s="18">
        <v>0.75382505992550419</v>
      </c>
      <c r="E103" s="18">
        <v>0.47699365809281508</v>
      </c>
      <c r="F103" s="18">
        <v>2.8175942679005514E-2</v>
      </c>
      <c r="G103" s="18">
        <v>7.9082974784508066E-3</v>
      </c>
    </row>
    <row r="104" spans="2:7" x14ac:dyDescent="0.3">
      <c r="B104" s="32" t="s">
        <v>5</v>
      </c>
      <c r="C104" s="19">
        <v>0.85610992865587998</v>
      </c>
      <c r="D104" s="19">
        <v>0.31130556261322573</v>
      </c>
      <c r="E104" s="19">
        <v>-0.29946001336920275</v>
      </c>
      <c r="F104" s="19">
        <v>-0.12375565404411405</v>
      </c>
      <c r="G104" s="19">
        <v>0.10247879902399044</v>
      </c>
    </row>
    <row r="105" spans="2:7" x14ac:dyDescent="0.3">
      <c r="B105" s="32" t="s">
        <v>6</v>
      </c>
      <c r="C105" s="19">
        <v>4.1939007219503478E-2</v>
      </c>
      <c r="D105" s="19">
        <v>0.87899656152161931</v>
      </c>
      <c r="E105" s="19">
        <v>0.39871039854158763</v>
      </c>
      <c r="F105" s="19">
        <v>0.19212144629978589</v>
      </c>
      <c r="G105" s="19">
        <v>-1.00964500617663E-2</v>
      </c>
    </row>
    <row r="106" spans="2:7" x14ac:dyDescent="0.3">
      <c r="B106" s="32" t="s">
        <v>7</v>
      </c>
      <c r="C106" s="19">
        <v>0.47711483353825562</v>
      </c>
      <c r="D106" s="19">
        <v>-0.40012584843507676</v>
      </c>
      <c r="E106" s="19">
        <v>0.63818589244974144</v>
      </c>
      <c r="F106" s="19">
        <v>-0.35156933028853482</v>
      </c>
      <c r="G106" s="19">
        <v>-3.1939352671876399E-2</v>
      </c>
    </row>
    <row r="107" spans="2:7" x14ac:dyDescent="0.3">
      <c r="B107" s="32" t="s">
        <v>8</v>
      </c>
      <c r="C107" s="19">
        <v>0.35156506243491709</v>
      </c>
      <c r="D107" s="19">
        <v>-0.35760827166250414</v>
      </c>
      <c r="E107" s="19">
        <v>0.68650082519430089</v>
      </c>
      <c r="F107" s="19">
        <v>-0.34867061711141711</v>
      </c>
      <c r="G107" s="19">
        <v>-3.3759775265519922E-3</v>
      </c>
    </row>
    <row r="108" spans="2:7" x14ac:dyDescent="0.3">
      <c r="B108" s="32" t="s">
        <v>9</v>
      </c>
      <c r="C108" s="19">
        <v>-0.14498668600355008</v>
      </c>
      <c r="D108" s="19">
        <v>-0.25805761437437141</v>
      </c>
      <c r="E108" s="19">
        <v>5.4886199663015577E-2</v>
      </c>
      <c r="F108" s="19">
        <v>-0.10762449012965949</v>
      </c>
      <c r="G108" s="19">
        <v>0.37594187693689013</v>
      </c>
    </row>
    <row r="109" spans="2:7" x14ac:dyDescent="0.3">
      <c r="B109" s="32" t="s">
        <v>10</v>
      </c>
      <c r="C109" s="19">
        <v>0.24121413701513958</v>
      </c>
      <c r="D109" s="19">
        <v>0.73247767334733149</v>
      </c>
      <c r="E109" s="19">
        <v>0.22120442250394143</v>
      </c>
      <c r="F109" s="19">
        <v>0.28999021266220165</v>
      </c>
      <c r="G109" s="19">
        <v>-0.25955138151028345</v>
      </c>
    </row>
    <row r="110" spans="2:7" x14ac:dyDescent="0.3">
      <c r="B110" s="32" t="s">
        <v>11</v>
      </c>
      <c r="C110" s="19">
        <v>0.82923333874454219</v>
      </c>
      <c r="D110" s="19">
        <v>-0.27179582886309084</v>
      </c>
      <c r="E110" s="19">
        <v>2.3729067565279986E-2</v>
      </c>
      <c r="F110" s="19">
        <v>0.34305137966467297</v>
      </c>
      <c r="G110" s="19">
        <v>-2.2843693292158595E-3</v>
      </c>
    </row>
    <row r="111" spans="2:7" x14ac:dyDescent="0.3">
      <c r="B111" s="32" t="s">
        <v>12</v>
      </c>
      <c r="C111" s="19">
        <v>0.90772947086542932</v>
      </c>
      <c r="D111" s="19">
        <v>3.5591883242630962E-4</v>
      </c>
      <c r="E111" s="19">
        <v>-7.9317325334827327E-2</v>
      </c>
      <c r="F111" s="19">
        <v>-5.3835878502961218E-2</v>
      </c>
      <c r="G111" s="19">
        <v>-0.1472728765077094</v>
      </c>
    </row>
    <row r="112" spans="2:7" x14ac:dyDescent="0.3">
      <c r="B112" s="32" t="s">
        <v>13</v>
      </c>
      <c r="C112" s="19">
        <v>0.48897940335697876</v>
      </c>
      <c r="D112" s="19">
        <v>-0.44184694736854024</v>
      </c>
      <c r="E112" s="19">
        <v>0.23315908871268815</v>
      </c>
      <c r="F112" s="19">
        <v>-0.18821755488228484</v>
      </c>
      <c r="G112" s="19">
        <v>-0.49864146088613009</v>
      </c>
    </row>
    <row r="113" spans="2:7" x14ac:dyDescent="0.3">
      <c r="B113" s="32" t="s">
        <v>14</v>
      </c>
      <c r="C113" s="19">
        <v>-0.19367979578291944</v>
      </c>
      <c r="D113" s="19">
        <v>0.57340083440991085</v>
      </c>
      <c r="E113" s="19">
        <v>0.64871460811558801</v>
      </c>
      <c r="F113" s="19">
        <v>0.28831077460228638</v>
      </c>
      <c r="G113" s="19">
        <v>-0.13931735069293996</v>
      </c>
    </row>
    <row r="114" spans="2:7" x14ac:dyDescent="0.3">
      <c r="B114" s="32" t="s">
        <v>15</v>
      </c>
      <c r="C114" s="19">
        <v>0.67601671246720496</v>
      </c>
      <c r="D114" s="19">
        <v>1.9247953122821692E-2</v>
      </c>
      <c r="E114" s="19">
        <v>-9.622275519457725E-2</v>
      </c>
      <c r="F114" s="19">
        <v>-5.517714544925844E-2</v>
      </c>
      <c r="G114" s="19">
        <v>-0.24394614544484652</v>
      </c>
    </row>
    <row r="115" spans="2:7" x14ac:dyDescent="0.3">
      <c r="B115" s="32" t="s">
        <v>16</v>
      </c>
      <c r="C115" s="19">
        <v>0.5004146723352233</v>
      </c>
      <c r="D115" s="19">
        <v>-0.35954664406483028</v>
      </c>
      <c r="E115" s="19">
        <v>6.6744715795471171E-2</v>
      </c>
      <c r="F115" s="19">
        <v>0.71127176130562197</v>
      </c>
      <c r="G115" s="19">
        <v>0.26204033106704494</v>
      </c>
    </row>
    <row r="116" spans="2:7" x14ac:dyDescent="0.3">
      <c r="B116" s="32" t="s">
        <v>17</v>
      </c>
      <c r="C116" s="19">
        <v>0.89779281385889764</v>
      </c>
      <c r="D116" s="19">
        <v>-0.19072224591093256</v>
      </c>
      <c r="E116" s="19">
        <v>7.1769367774090556E-2</v>
      </c>
      <c r="F116" s="19">
        <v>-9.6214657895125982E-2</v>
      </c>
      <c r="G116" s="19">
        <v>-0.23773390874250536</v>
      </c>
    </row>
    <row r="117" spans="2:7" x14ac:dyDescent="0.3">
      <c r="B117" s="32" t="s">
        <v>18</v>
      </c>
      <c r="C117" s="19">
        <v>0.78521043889832609</v>
      </c>
      <c r="D117" s="19">
        <v>-0.4351518814426597</v>
      </c>
      <c r="E117" s="19">
        <v>0.21805422612371217</v>
      </c>
      <c r="F117" s="19">
        <v>0.24139269811424063</v>
      </c>
      <c r="G117" s="19">
        <v>-0.16087345159951758</v>
      </c>
    </row>
    <row r="118" spans="2:7" x14ac:dyDescent="0.3">
      <c r="B118" s="32" t="s">
        <v>19</v>
      </c>
      <c r="C118" s="19">
        <v>0.84034074593847297</v>
      </c>
      <c r="D118" s="19">
        <v>0.28185440694312908</v>
      </c>
      <c r="E118" s="19">
        <v>-0.24330566628294314</v>
      </c>
      <c r="F118" s="19">
        <v>-5.9771493188583345E-2</v>
      </c>
      <c r="G118" s="19">
        <v>0.12173171639437473</v>
      </c>
    </row>
    <row r="119" spans="2:7" x14ac:dyDescent="0.3">
      <c r="B119" s="32" t="s">
        <v>20</v>
      </c>
      <c r="C119" s="19">
        <v>0.35717984603935238</v>
      </c>
      <c r="D119" s="19">
        <v>-0.34698368302898347</v>
      </c>
      <c r="E119" s="19">
        <v>0.2083454454345097</v>
      </c>
      <c r="F119" s="19">
        <v>0.58088430778924249</v>
      </c>
      <c r="G119" s="19">
        <v>0.5695064691060705</v>
      </c>
    </row>
    <row r="120" spans="2:7" x14ac:dyDescent="0.3">
      <c r="B120" s="32" t="s">
        <v>21</v>
      </c>
      <c r="C120" s="19">
        <v>0.45515603328114757</v>
      </c>
      <c r="D120" s="19">
        <v>0.3395781441002001</v>
      </c>
      <c r="E120" s="19">
        <v>-7.9351862296749662E-2</v>
      </c>
      <c r="F120" s="19">
        <v>-0.38136353113265381</v>
      </c>
      <c r="G120" s="19">
        <v>0.4984987979663249</v>
      </c>
    </row>
    <row r="121" spans="2:7" x14ac:dyDescent="0.3">
      <c r="B121" s="32" t="s">
        <v>22</v>
      </c>
      <c r="C121" s="19">
        <v>0.91555323395384047</v>
      </c>
      <c r="D121" s="19">
        <v>-0.2464169402799477</v>
      </c>
      <c r="E121" s="19">
        <v>6.8399519414439808E-2</v>
      </c>
      <c r="F121" s="19">
        <v>0.15011908812776631</v>
      </c>
      <c r="G121" s="19">
        <v>-3.2185379890426337E-2</v>
      </c>
    </row>
    <row r="122" spans="2:7" x14ac:dyDescent="0.3">
      <c r="B122" s="32" t="s">
        <v>23</v>
      </c>
      <c r="C122" s="19">
        <v>5.1438772833336342E-3</v>
      </c>
      <c r="D122" s="19">
        <v>-2.5646839781633922E-2</v>
      </c>
      <c r="E122" s="19">
        <v>0.57330193987934663</v>
      </c>
      <c r="F122" s="19">
        <v>-0.39647384149490411</v>
      </c>
      <c r="G122" s="19">
        <v>0.57508841161103319</v>
      </c>
    </row>
    <row r="123" spans="2:7" x14ac:dyDescent="0.3">
      <c r="B123" s="32" t="s">
        <v>24</v>
      </c>
      <c r="C123" s="19">
        <v>0.88332693583455169</v>
      </c>
      <c r="D123" s="19">
        <v>0.21349721420177853</v>
      </c>
      <c r="E123" s="19">
        <v>-0.14141056537494734</v>
      </c>
      <c r="F123" s="19">
        <v>-0.24023092818057346</v>
      </c>
      <c r="G123" s="19">
        <v>5.0053341496512097E-2</v>
      </c>
    </row>
    <row r="124" spans="2:7" x14ac:dyDescent="0.3">
      <c r="B124" s="32" t="s">
        <v>25</v>
      </c>
      <c r="C124" s="19">
        <v>0.82127286425778911</v>
      </c>
      <c r="D124" s="19">
        <v>0.27748141359458389</v>
      </c>
      <c r="E124" s="19">
        <v>-0.27067652859468883</v>
      </c>
      <c r="F124" s="19">
        <v>-0.12699563471172981</v>
      </c>
      <c r="G124" s="19">
        <v>8.8678500679429131E-2</v>
      </c>
    </row>
    <row r="125" spans="2:7" ht="15" thickBot="1" x14ac:dyDescent="0.35">
      <c r="B125" s="42" t="s">
        <v>26</v>
      </c>
      <c r="C125" s="20">
        <v>0.84805749550477638</v>
      </c>
      <c r="D125" s="20">
        <v>0.30408040090050081</v>
      </c>
      <c r="E125" s="20">
        <v>-0.28676691092986256</v>
      </c>
      <c r="F125" s="20">
        <v>-2.5014131864639442E-2</v>
      </c>
      <c r="G125" s="20">
        <v>0.17185509366471421</v>
      </c>
    </row>
    <row r="128" spans="2:7" x14ac:dyDescent="0.3">
      <c r="B128" s="31" t="s">
        <v>375</v>
      </c>
    </row>
    <row r="129" spans="2:7" ht="15" thickBot="1" x14ac:dyDescent="0.35"/>
    <row r="130" spans="2:7" x14ac:dyDescent="0.3">
      <c r="B130" s="34"/>
      <c r="C130" s="35" t="s">
        <v>346</v>
      </c>
      <c r="D130" s="35" t="s">
        <v>347</v>
      </c>
      <c r="E130" s="35" t="s">
        <v>348</v>
      </c>
      <c r="F130" s="35" t="s">
        <v>349</v>
      </c>
      <c r="G130" s="35" t="s">
        <v>350</v>
      </c>
    </row>
    <row r="131" spans="2:7" x14ac:dyDescent="0.3">
      <c r="B131" s="41" t="s">
        <v>4</v>
      </c>
      <c r="C131" s="18">
        <v>0.41794227727735772</v>
      </c>
      <c r="D131" s="18">
        <v>0.75382505992550419</v>
      </c>
      <c r="E131" s="18">
        <v>0.47699365809281508</v>
      </c>
      <c r="F131" s="18">
        <v>2.8175942679005514E-2</v>
      </c>
      <c r="G131" s="18">
        <v>7.9082974784508066E-3</v>
      </c>
    </row>
    <row r="132" spans="2:7" x14ac:dyDescent="0.3">
      <c r="B132" s="32" t="s">
        <v>5</v>
      </c>
      <c r="C132" s="19">
        <v>0.85610992865587998</v>
      </c>
      <c r="D132" s="19">
        <v>0.31130556261322573</v>
      </c>
      <c r="E132" s="19">
        <v>-0.29946001336920275</v>
      </c>
      <c r="F132" s="19">
        <v>-0.12375565404411405</v>
      </c>
      <c r="G132" s="19">
        <v>0.10247879902399044</v>
      </c>
    </row>
    <row r="133" spans="2:7" x14ac:dyDescent="0.3">
      <c r="B133" s="32" t="s">
        <v>6</v>
      </c>
      <c r="C133" s="19">
        <v>4.1939007219503478E-2</v>
      </c>
      <c r="D133" s="19">
        <v>0.87899656152161931</v>
      </c>
      <c r="E133" s="19">
        <v>0.39871039854158763</v>
      </c>
      <c r="F133" s="19">
        <v>0.19212144629978589</v>
      </c>
      <c r="G133" s="19">
        <v>-1.00964500617663E-2</v>
      </c>
    </row>
    <row r="134" spans="2:7" x14ac:dyDescent="0.3">
      <c r="B134" s="32" t="s">
        <v>7</v>
      </c>
      <c r="C134" s="19">
        <v>0.47711483353825562</v>
      </c>
      <c r="D134" s="19">
        <v>-0.40012584843507676</v>
      </c>
      <c r="E134" s="19">
        <v>0.63818589244974144</v>
      </c>
      <c r="F134" s="19">
        <v>-0.35156933028853482</v>
      </c>
      <c r="G134" s="19">
        <v>-3.1939352671876399E-2</v>
      </c>
    </row>
    <row r="135" spans="2:7" x14ac:dyDescent="0.3">
      <c r="B135" s="32" t="s">
        <v>8</v>
      </c>
      <c r="C135" s="19">
        <v>0.35156506243491709</v>
      </c>
      <c r="D135" s="19">
        <v>-0.35760827166250414</v>
      </c>
      <c r="E135" s="19">
        <v>0.68650082519430089</v>
      </c>
      <c r="F135" s="19">
        <v>-0.34867061711141711</v>
      </c>
      <c r="G135" s="19">
        <v>-3.3759775265519922E-3</v>
      </c>
    </row>
    <row r="136" spans="2:7" x14ac:dyDescent="0.3">
      <c r="B136" s="32" t="s">
        <v>9</v>
      </c>
      <c r="C136" s="19">
        <v>-0.14498668600355008</v>
      </c>
      <c r="D136" s="19">
        <v>-0.25805761437437141</v>
      </c>
      <c r="E136" s="19">
        <v>5.4886199663015577E-2</v>
      </c>
      <c r="F136" s="19">
        <v>-0.10762449012965949</v>
      </c>
      <c r="G136" s="19">
        <v>0.37594187693689013</v>
      </c>
    </row>
    <row r="137" spans="2:7" x14ac:dyDescent="0.3">
      <c r="B137" s="32" t="s">
        <v>10</v>
      </c>
      <c r="C137" s="19">
        <v>0.24121413701513958</v>
      </c>
      <c r="D137" s="19">
        <v>0.73247767334733149</v>
      </c>
      <c r="E137" s="19">
        <v>0.22120442250394143</v>
      </c>
      <c r="F137" s="19">
        <v>0.28999021266220165</v>
      </c>
      <c r="G137" s="19">
        <v>-0.25955138151028345</v>
      </c>
    </row>
    <row r="138" spans="2:7" x14ac:dyDescent="0.3">
      <c r="B138" s="32" t="s">
        <v>11</v>
      </c>
      <c r="C138" s="19">
        <v>0.82923333874454219</v>
      </c>
      <c r="D138" s="19">
        <v>-0.27179582886309084</v>
      </c>
      <c r="E138" s="19">
        <v>2.3729067565279986E-2</v>
      </c>
      <c r="F138" s="19">
        <v>0.34305137966467297</v>
      </c>
      <c r="G138" s="19">
        <v>-2.2843693292158595E-3</v>
      </c>
    </row>
    <row r="139" spans="2:7" x14ac:dyDescent="0.3">
      <c r="B139" s="32" t="s">
        <v>12</v>
      </c>
      <c r="C139" s="19">
        <v>0.90772947086542932</v>
      </c>
      <c r="D139" s="19">
        <v>3.5591883242630962E-4</v>
      </c>
      <c r="E139" s="19">
        <v>-7.9317325334827327E-2</v>
      </c>
      <c r="F139" s="19">
        <v>-5.3835878502961218E-2</v>
      </c>
      <c r="G139" s="19">
        <v>-0.1472728765077094</v>
      </c>
    </row>
    <row r="140" spans="2:7" x14ac:dyDescent="0.3">
      <c r="B140" s="32" t="s">
        <v>13</v>
      </c>
      <c r="C140" s="19">
        <v>0.48897940335697876</v>
      </c>
      <c r="D140" s="19">
        <v>-0.44184694736854024</v>
      </c>
      <c r="E140" s="19">
        <v>0.23315908871268815</v>
      </c>
      <c r="F140" s="19">
        <v>-0.18821755488228484</v>
      </c>
      <c r="G140" s="19">
        <v>-0.49864146088613009</v>
      </c>
    </row>
    <row r="141" spans="2:7" x14ac:dyDescent="0.3">
      <c r="B141" s="32" t="s">
        <v>14</v>
      </c>
      <c r="C141" s="19">
        <v>-0.19367979578291944</v>
      </c>
      <c r="D141" s="19">
        <v>0.57340083440991085</v>
      </c>
      <c r="E141" s="19">
        <v>0.64871460811558801</v>
      </c>
      <c r="F141" s="19">
        <v>0.28831077460228638</v>
      </c>
      <c r="G141" s="19">
        <v>-0.13931735069293996</v>
      </c>
    </row>
    <row r="142" spans="2:7" x14ac:dyDescent="0.3">
      <c r="B142" s="32" t="s">
        <v>15</v>
      </c>
      <c r="C142" s="19">
        <v>0.67601671246720496</v>
      </c>
      <c r="D142" s="19">
        <v>1.9247953122821692E-2</v>
      </c>
      <c r="E142" s="19">
        <v>-9.622275519457725E-2</v>
      </c>
      <c r="F142" s="19">
        <v>-5.517714544925844E-2</v>
      </c>
      <c r="G142" s="19">
        <v>-0.24394614544484652</v>
      </c>
    </row>
    <row r="143" spans="2:7" x14ac:dyDescent="0.3">
      <c r="B143" s="32" t="s">
        <v>16</v>
      </c>
      <c r="C143" s="19">
        <v>0.5004146723352233</v>
      </c>
      <c r="D143" s="19">
        <v>-0.35954664406483028</v>
      </c>
      <c r="E143" s="19">
        <v>6.6744715795471171E-2</v>
      </c>
      <c r="F143" s="19">
        <v>0.71127176130562197</v>
      </c>
      <c r="G143" s="19">
        <v>0.26204033106704494</v>
      </c>
    </row>
    <row r="144" spans="2:7" x14ac:dyDescent="0.3">
      <c r="B144" s="32" t="s">
        <v>17</v>
      </c>
      <c r="C144" s="19">
        <v>0.89779281385889764</v>
      </c>
      <c r="D144" s="19">
        <v>-0.19072224591093256</v>
      </c>
      <c r="E144" s="19">
        <v>7.1769367774090556E-2</v>
      </c>
      <c r="F144" s="19">
        <v>-9.6214657895125982E-2</v>
      </c>
      <c r="G144" s="19">
        <v>-0.23773390874250536</v>
      </c>
    </row>
    <row r="145" spans="2:7" x14ac:dyDescent="0.3">
      <c r="B145" s="32" t="s">
        <v>18</v>
      </c>
      <c r="C145" s="19">
        <v>0.78521043889832609</v>
      </c>
      <c r="D145" s="19">
        <v>-0.4351518814426597</v>
      </c>
      <c r="E145" s="19">
        <v>0.21805422612371217</v>
      </c>
      <c r="F145" s="19">
        <v>0.24139269811424063</v>
      </c>
      <c r="G145" s="19">
        <v>-0.16087345159951758</v>
      </c>
    </row>
    <row r="146" spans="2:7" x14ac:dyDescent="0.3">
      <c r="B146" s="32" t="s">
        <v>19</v>
      </c>
      <c r="C146" s="19">
        <v>0.84034074593847297</v>
      </c>
      <c r="D146" s="19">
        <v>0.28185440694312908</v>
      </c>
      <c r="E146" s="19">
        <v>-0.24330566628294314</v>
      </c>
      <c r="F146" s="19">
        <v>-5.9771493188583345E-2</v>
      </c>
      <c r="G146" s="19">
        <v>0.12173171639437473</v>
      </c>
    </row>
    <row r="147" spans="2:7" x14ac:dyDescent="0.3">
      <c r="B147" s="32" t="s">
        <v>20</v>
      </c>
      <c r="C147" s="19">
        <v>0.35717984603935238</v>
      </c>
      <c r="D147" s="19">
        <v>-0.34698368302898347</v>
      </c>
      <c r="E147" s="19">
        <v>0.2083454454345097</v>
      </c>
      <c r="F147" s="19">
        <v>0.58088430778924249</v>
      </c>
      <c r="G147" s="19">
        <v>0.5695064691060705</v>
      </c>
    </row>
    <row r="148" spans="2:7" x14ac:dyDescent="0.3">
      <c r="B148" s="32" t="s">
        <v>21</v>
      </c>
      <c r="C148" s="19">
        <v>0.45515603328114757</v>
      </c>
      <c r="D148" s="19">
        <v>0.3395781441002001</v>
      </c>
      <c r="E148" s="19">
        <v>-7.9351862296749662E-2</v>
      </c>
      <c r="F148" s="19">
        <v>-0.38136353113265381</v>
      </c>
      <c r="G148" s="19">
        <v>0.4984987979663249</v>
      </c>
    </row>
    <row r="149" spans="2:7" x14ac:dyDescent="0.3">
      <c r="B149" s="32" t="s">
        <v>22</v>
      </c>
      <c r="C149" s="19">
        <v>0.91555323395384047</v>
      </c>
      <c r="D149" s="19">
        <v>-0.2464169402799477</v>
      </c>
      <c r="E149" s="19">
        <v>6.8399519414439808E-2</v>
      </c>
      <c r="F149" s="19">
        <v>0.15011908812776631</v>
      </c>
      <c r="G149" s="19">
        <v>-3.2185379890426337E-2</v>
      </c>
    </row>
    <row r="150" spans="2:7" x14ac:dyDescent="0.3">
      <c r="B150" s="32" t="s">
        <v>23</v>
      </c>
      <c r="C150" s="19">
        <v>5.1438772833336342E-3</v>
      </c>
      <c r="D150" s="19">
        <v>-2.5646839781633922E-2</v>
      </c>
      <c r="E150" s="19">
        <v>0.57330193987934663</v>
      </c>
      <c r="F150" s="19">
        <v>-0.39647384149490411</v>
      </c>
      <c r="G150" s="19">
        <v>0.57508841161103319</v>
      </c>
    </row>
    <row r="151" spans="2:7" x14ac:dyDescent="0.3">
      <c r="B151" s="32" t="s">
        <v>24</v>
      </c>
      <c r="C151" s="19">
        <v>0.88332693583455169</v>
      </c>
      <c r="D151" s="19">
        <v>0.21349721420177853</v>
      </c>
      <c r="E151" s="19">
        <v>-0.14141056537494734</v>
      </c>
      <c r="F151" s="19">
        <v>-0.24023092818057346</v>
      </c>
      <c r="G151" s="19">
        <v>5.0053341496512097E-2</v>
      </c>
    </row>
    <row r="152" spans="2:7" x14ac:dyDescent="0.3">
      <c r="B152" s="32" t="s">
        <v>25</v>
      </c>
      <c r="C152" s="19">
        <v>0.82127286425778911</v>
      </c>
      <c r="D152" s="19">
        <v>0.27748141359458389</v>
      </c>
      <c r="E152" s="19">
        <v>-0.27067652859468883</v>
      </c>
      <c r="F152" s="19">
        <v>-0.12699563471172981</v>
      </c>
      <c r="G152" s="19">
        <v>8.8678500679429131E-2</v>
      </c>
    </row>
    <row r="153" spans="2:7" ht="15" thickBot="1" x14ac:dyDescent="0.35">
      <c r="B153" s="42" t="s">
        <v>26</v>
      </c>
      <c r="C153" s="20">
        <v>0.84805749550477638</v>
      </c>
      <c r="D153" s="20">
        <v>0.30408040090050081</v>
      </c>
      <c r="E153" s="20">
        <v>-0.28676691092986256</v>
      </c>
      <c r="F153" s="20">
        <v>-2.5014131864639442E-2</v>
      </c>
      <c r="G153" s="20">
        <v>0.17185509366471421</v>
      </c>
    </row>
    <row r="173" spans="2:7" x14ac:dyDescent="0.3">
      <c r="G173" t="s">
        <v>372</v>
      </c>
    </row>
    <row r="176" spans="2:7" x14ac:dyDescent="0.3">
      <c r="B176" s="31" t="s">
        <v>376</v>
      </c>
    </row>
    <row r="177" spans="2:7" ht="15" thickBot="1" x14ac:dyDescent="0.35"/>
    <row r="178" spans="2:7" x14ac:dyDescent="0.3">
      <c r="B178" s="34"/>
      <c r="C178" s="35" t="s">
        <v>346</v>
      </c>
      <c r="D178" s="35" t="s">
        <v>347</v>
      </c>
      <c r="E178" s="35" t="s">
        <v>348</v>
      </c>
      <c r="F178" s="35" t="s">
        <v>349</v>
      </c>
      <c r="G178" s="35" t="s">
        <v>350</v>
      </c>
    </row>
    <row r="179" spans="2:7" x14ac:dyDescent="0.3">
      <c r="B179" s="41" t="s">
        <v>4</v>
      </c>
      <c r="C179" s="18">
        <v>1.8759839977526962</v>
      </c>
      <c r="D179" s="18">
        <v>14.669341163172728</v>
      </c>
      <c r="E179" s="18">
        <v>8.8430826959857054</v>
      </c>
      <c r="F179" s="18">
        <v>4.0709693159867943E-2</v>
      </c>
      <c r="G179" s="18">
        <v>3.7225998874685787E-3</v>
      </c>
    </row>
    <row r="180" spans="2:7" x14ac:dyDescent="0.3">
      <c r="B180" s="32" t="s">
        <v>5</v>
      </c>
      <c r="C180" s="19">
        <v>7.8714653405782693</v>
      </c>
      <c r="D180" s="19">
        <v>2.5017460874112518</v>
      </c>
      <c r="E180" s="19">
        <v>3.4854283217614683</v>
      </c>
      <c r="F180" s="19">
        <v>0.78536405126126951</v>
      </c>
      <c r="G180" s="19">
        <v>0.62509844630861811</v>
      </c>
    </row>
    <row r="181" spans="2:7" x14ac:dyDescent="0.3">
      <c r="B181" s="32" t="s">
        <v>6</v>
      </c>
      <c r="C181" s="19">
        <v>1.889003711556515E-2</v>
      </c>
      <c r="D181" s="19">
        <v>19.945449104543926</v>
      </c>
      <c r="E181" s="19">
        <v>6.178650096736364</v>
      </c>
      <c r="F181" s="19">
        <v>1.8927472050019489</v>
      </c>
      <c r="G181" s="19">
        <v>6.0676115343036782E-3</v>
      </c>
    </row>
    <row r="182" spans="2:7" x14ac:dyDescent="0.3">
      <c r="B182" s="32" t="s">
        <v>7</v>
      </c>
      <c r="C182" s="19">
        <v>2.4447944895321432</v>
      </c>
      <c r="D182" s="19">
        <v>4.1329740961247312</v>
      </c>
      <c r="E182" s="19">
        <v>15.829706976779329</v>
      </c>
      <c r="F182" s="19">
        <v>6.3381553864467106</v>
      </c>
      <c r="G182" s="19">
        <v>6.0720114925137632E-2</v>
      </c>
    </row>
    <row r="183" spans="2:7" x14ac:dyDescent="0.3">
      <c r="B183" s="32" t="s">
        <v>8</v>
      </c>
      <c r="C183" s="19">
        <v>1.3274187233122674</v>
      </c>
      <c r="D183" s="19">
        <v>3.3012968584112294</v>
      </c>
      <c r="E183" s="19">
        <v>18.317263957752786</v>
      </c>
      <c r="F183" s="19">
        <v>6.2340692121198051</v>
      </c>
      <c r="G183" s="19">
        <v>6.7839003363883842E-4</v>
      </c>
    </row>
    <row r="184" spans="2:7" x14ac:dyDescent="0.3">
      <c r="B184" s="32" t="s">
        <v>9</v>
      </c>
      <c r="C184" s="19">
        <v>0.22576299942655528</v>
      </c>
      <c r="D184" s="19">
        <v>1.7191066623620652</v>
      </c>
      <c r="E184" s="19">
        <v>0.11708595399788468</v>
      </c>
      <c r="F184" s="19">
        <v>0.59396811595447985</v>
      </c>
      <c r="G184" s="19">
        <v>8.4124360512558702</v>
      </c>
    </row>
    <row r="185" spans="2:7" x14ac:dyDescent="0.3">
      <c r="B185" s="32" t="s">
        <v>10</v>
      </c>
      <c r="C185" s="19">
        <v>0.62488778365466247</v>
      </c>
      <c r="D185" s="19">
        <v>13.850270335088581</v>
      </c>
      <c r="E185" s="19">
        <v>1.9018054497647079</v>
      </c>
      <c r="F185" s="19">
        <v>4.3122864293634136</v>
      </c>
      <c r="G185" s="19">
        <v>4.0098401015611591</v>
      </c>
    </row>
    <row r="186" spans="2:7" x14ac:dyDescent="0.3">
      <c r="B186" s="32" t="s">
        <v>11</v>
      </c>
      <c r="C186" s="19">
        <v>7.3849919888723701</v>
      </c>
      <c r="D186" s="19">
        <v>1.9070190975564916</v>
      </c>
      <c r="E186" s="19">
        <v>2.1884660938873486E-2</v>
      </c>
      <c r="F186" s="19">
        <v>6.0347496661031785</v>
      </c>
      <c r="G186" s="19">
        <v>3.1060826392305808E-4</v>
      </c>
    </row>
    <row r="187" spans="2:7" x14ac:dyDescent="0.3">
      <c r="B187" s="32" t="s">
        <v>12</v>
      </c>
      <c r="C187" s="19">
        <v>8.8493096393905901</v>
      </c>
      <c r="D187" s="19">
        <v>3.2701780815631347E-6</v>
      </c>
      <c r="E187" s="19">
        <v>0.24452011894708009</v>
      </c>
      <c r="F187" s="19">
        <v>0.14862248806185785</v>
      </c>
      <c r="G187" s="19">
        <v>1.2909989946915092</v>
      </c>
    </row>
    <row r="188" spans="2:7" x14ac:dyDescent="0.3">
      <c r="B188" s="32" t="s">
        <v>13</v>
      </c>
      <c r="C188" s="19">
        <v>2.5678973112303982</v>
      </c>
      <c r="D188" s="19">
        <v>5.0397986399349231</v>
      </c>
      <c r="E188" s="19">
        <v>2.1129205890279783</v>
      </c>
      <c r="F188" s="19">
        <v>1.816607794474137</v>
      </c>
      <c r="G188" s="19">
        <v>14.799843999361942</v>
      </c>
    </row>
    <row r="189" spans="2:7" x14ac:dyDescent="0.3">
      <c r="B189" s="32" t="s">
        <v>14</v>
      </c>
      <c r="C189" s="19">
        <v>0.40287021192295575</v>
      </c>
      <c r="D189" s="19">
        <v>8.4876235357627259</v>
      </c>
      <c r="E189" s="19">
        <v>16.356328789725932</v>
      </c>
      <c r="F189" s="19">
        <v>4.262483046425217</v>
      </c>
      <c r="G189" s="19">
        <v>1.1552893756936287</v>
      </c>
    </row>
    <row r="190" spans="2:7" x14ac:dyDescent="0.3">
      <c r="B190" s="32" t="s">
        <v>15</v>
      </c>
      <c r="C190" s="19">
        <v>4.9080772017687098</v>
      </c>
      <c r="D190" s="19">
        <v>9.5639780745049533E-3</v>
      </c>
      <c r="E190" s="19">
        <v>0.3598603953994573</v>
      </c>
      <c r="F190" s="19">
        <v>0.15612029973479638</v>
      </c>
      <c r="G190" s="19">
        <v>3.5421609074322826</v>
      </c>
    </row>
    <row r="191" spans="2:7" x14ac:dyDescent="0.3">
      <c r="B191" s="32" t="s">
        <v>16</v>
      </c>
      <c r="C191" s="19">
        <v>2.6894073641461822</v>
      </c>
      <c r="D191" s="19">
        <v>3.3371824131951868</v>
      </c>
      <c r="E191" s="19">
        <v>0.17314591622458644</v>
      </c>
      <c r="F191" s="19">
        <v>25.94251356100175</v>
      </c>
      <c r="G191" s="19">
        <v>4.0871129893053073</v>
      </c>
    </row>
    <row r="192" spans="2:7" x14ac:dyDescent="0.3">
      <c r="B192" s="32" t="s">
        <v>17</v>
      </c>
      <c r="C192" s="19">
        <v>8.656628293079935</v>
      </c>
      <c r="D192" s="19">
        <v>0.93901422578849425</v>
      </c>
      <c r="E192" s="19">
        <v>0.20019660926697033</v>
      </c>
      <c r="F192" s="19">
        <v>0.47470455479839768</v>
      </c>
      <c r="G192" s="19">
        <v>3.3640514325090769</v>
      </c>
    </row>
    <row r="193" spans="2:7" x14ac:dyDescent="0.3">
      <c r="B193" s="32" t="s">
        <v>18</v>
      </c>
      <c r="C193" s="19">
        <v>6.6216870153253584</v>
      </c>
      <c r="D193" s="19">
        <v>4.8882251192109294</v>
      </c>
      <c r="E193" s="19">
        <v>1.848023514472489</v>
      </c>
      <c r="F193" s="19">
        <v>2.9880590570656174</v>
      </c>
      <c r="G193" s="19">
        <v>1.5404553856205268</v>
      </c>
    </row>
    <row r="194" spans="2:7" x14ac:dyDescent="0.3">
      <c r="B194" s="32" t="s">
        <v>19</v>
      </c>
      <c r="C194" s="19">
        <v>7.5841578544941948</v>
      </c>
      <c r="D194" s="19">
        <v>2.0507802507785615</v>
      </c>
      <c r="E194" s="19">
        <v>2.3008214789721242</v>
      </c>
      <c r="F194" s="19">
        <v>0.18320154398647823</v>
      </c>
      <c r="G194" s="19">
        <v>0.88203913811724288</v>
      </c>
    </row>
    <row r="195" spans="2:7" x14ac:dyDescent="0.3">
      <c r="B195" s="32" t="s">
        <v>20</v>
      </c>
      <c r="C195" s="19">
        <v>1.3701572449087145</v>
      </c>
      <c r="D195" s="19">
        <v>3.1080469614480308</v>
      </c>
      <c r="E195" s="19">
        <v>1.6871220381067522</v>
      </c>
      <c r="F195" s="19">
        <v>17.302952187052107</v>
      </c>
      <c r="G195" s="19">
        <v>19.305350391468956</v>
      </c>
    </row>
    <row r="196" spans="2:7" x14ac:dyDescent="0.3">
      <c r="B196" s="32" t="s">
        <v>21</v>
      </c>
      <c r="C196" s="19">
        <v>2.2249339744352179</v>
      </c>
      <c r="D196" s="19">
        <v>2.9767950038851092</v>
      </c>
      <c r="E196" s="19">
        <v>0.24473310698194606</v>
      </c>
      <c r="F196" s="19">
        <v>7.4579460799506503</v>
      </c>
      <c r="G196" s="19">
        <v>14.791376645218204</v>
      </c>
    </row>
    <row r="197" spans="2:7" x14ac:dyDescent="0.3">
      <c r="B197" s="32" t="s">
        <v>22</v>
      </c>
      <c r="C197" s="19">
        <v>9.0025122703250897</v>
      </c>
      <c r="D197" s="19">
        <v>1.5675109691711122</v>
      </c>
      <c r="E197" s="19">
        <v>0.1818379711802145</v>
      </c>
      <c r="F197" s="19">
        <v>1.1556138925609392</v>
      </c>
      <c r="G197" s="19">
        <v>6.1659165728916547E-2</v>
      </c>
    </row>
    <row r="198" spans="2:7" x14ac:dyDescent="0.3">
      <c r="B198" s="32" t="s">
        <v>23</v>
      </c>
      <c r="C198" s="19">
        <v>2.8416966694079141E-4</v>
      </c>
      <c r="D198" s="19">
        <v>1.6979980402971013E-2</v>
      </c>
      <c r="E198" s="19">
        <v>12.774540842476368</v>
      </c>
      <c r="F198" s="19">
        <v>8.0606487415012804</v>
      </c>
      <c r="G198" s="19">
        <v>19.685642683664589</v>
      </c>
    </row>
    <row r="199" spans="2:7" x14ac:dyDescent="0.3">
      <c r="B199" s="32" t="s">
        <v>24</v>
      </c>
      <c r="C199" s="19">
        <v>8.3799121867557798</v>
      </c>
      <c r="D199" s="19">
        <v>1.1766678632569998</v>
      </c>
      <c r="E199" s="19">
        <v>0.77721682554025751</v>
      </c>
      <c r="F199" s="19">
        <v>2.9593665276892813</v>
      </c>
      <c r="G199" s="19">
        <v>0.14912364708739337</v>
      </c>
    </row>
    <row r="200" spans="2:7" x14ac:dyDescent="0.3">
      <c r="B200" s="32" t="s">
        <v>25</v>
      </c>
      <c r="C200" s="19">
        <v>7.2438836642210722</v>
      </c>
      <c r="D200" s="19">
        <v>1.9876378752274053</v>
      </c>
      <c r="E200" s="19">
        <v>2.8476045138283723</v>
      </c>
      <c r="F200" s="19">
        <v>0.82702474632869583</v>
      </c>
      <c r="G200" s="19">
        <v>0.46807672728609828</v>
      </c>
    </row>
    <row r="201" spans="2:7" ht="15" thickBot="1" x14ac:dyDescent="0.35">
      <c r="B201" s="42" t="s">
        <v>26</v>
      </c>
      <c r="C201" s="20">
        <v>7.7240862380843271</v>
      </c>
      <c r="D201" s="20">
        <v>2.3869665090141656</v>
      </c>
      <c r="E201" s="20">
        <v>3.19621917613253</v>
      </c>
      <c r="F201" s="20">
        <v>3.2085719958158475E-2</v>
      </c>
      <c r="G201" s="20">
        <v>1.7579445930441175</v>
      </c>
    </row>
    <row r="204" spans="2:7" x14ac:dyDescent="0.3">
      <c r="B204" s="31" t="s">
        <v>377</v>
      </c>
    </row>
    <row r="205" spans="2:7" ht="15" thickBot="1" x14ac:dyDescent="0.35"/>
    <row r="206" spans="2:7" x14ac:dyDescent="0.3">
      <c r="B206" s="34"/>
      <c r="C206" s="35" t="s">
        <v>346</v>
      </c>
      <c r="D206" s="35" t="s">
        <v>347</v>
      </c>
      <c r="E206" s="35" t="s">
        <v>348</v>
      </c>
      <c r="F206" s="35" t="s">
        <v>349</v>
      </c>
      <c r="G206" s="35" t="s">
        <v>350</v>
      </c>
    </row>
    <row r="207" spans="2:7" x14ac:dyDescent="0.3">
      <c r="B207" s="41" t="s">
        <v>4</v>
      </c>
      <c r="C207" s="18">
        <v>0.17467574713578299</v>
      </c>
      <c r="D207" s="21">
        <v>0.56825222097168748</v>
      </c>
      <c r="E207" s="18">
        <v>0.22752294986076438</v>
      </c>
      <c r="F207" s="18">
        <v>7.9388374585060079E-4</v>
      </c>
      <c r="G207" s="18">
        <v>6.2541169007671122E-5</v>
      </c>
    </row>
    <row r="208" spans="2:7" x14ac:dyDescent="0.3">
      <c r="B208" s="32" t="s">
        <v>5</v>
      </c>
      <c r="C208" s="23">
        <v>0.73292420994317542</v>
      </c>
      <c r="D208" s="19">
        <v>9.6911153313936932E-2</v>
      </c>
      <c r="E208" s="19">
        <v>8.9676299607083038E-2</v>
      </c>
      <c r="F208" s="19">
        <v>1.5315461907886432E-2</v>
      </c>
      <c r="G208" s="19">
        <v>1.0501904249399417E-2</v>
      </c>
    </row>
    <row r="209" spans="2:7" x14ac:dyDescent="0.3">
      <c r="B209" s="32" t="s">
        <v>6</v>
      </c>
      <c r="C209" s="19">
        <v>1.7588803265575585E-3</v>
      </c>
      <c r="D209" s="23">
        <v>0.77263495516682712</v>
      </c>
      <c r="E209" s="19">
        <v>0.1589699819051911</v>
      </c>
      <c r="F209" s="19">
        <v>3.6910650128321384E-2</v>
      </c>
      <c r="G209" s="19">
        <v>1.0193830384974036E-4</v>
      </c>
    </row>
    <row r="210" spans="2:7" x14ac:dyDescent="0.3">
      <c r="B210" s="32" t="s">
        <v>7</v>
      </c>
      <c r="C210" s="19">
        <v>0.22763856438223656</v>
      </c>
      <c r="D210" s="19">
        <v>0.16010069458588946</v>
      </c>
      <c r="E210" s="23">
        <v>0.40728123332187149</v>
      </c>
      <c r="F210" s="19">
        <v>0.12360099399952844</v>
      </c>
      <c r="G210" s="19">
        <v>1.0201222490984945E-3</v>
      </c>
    </row>
    <row r="211" spans="2:7" x14ac:dyDescent="0.3">
      <c r="B211" s="32" t="s">
        <v>8</v>
      </c>
      <c r="C211" s="19">
        <v>0.12359799312486679</v>
      </c>
      <c r="D211" s="19">
        <v>0.12788367596144301</v>
      </c>
      <c r="E211" s="23">
        <v>0.4712833829924547</v>
      </c>
      <c r="F211" s="19">
        <v>0.1215711992368561</v>
      </c>
      <c r="G211" s="19">
        <v>1.1397224259784075E-5</v>
      </c>
    </row>
    <row r="212" spans="2:7" x14ac:dyDescent="0.3">
      <c r="B212" s="32" t="s">
        <v>9</v>
      </c>
      <c r="C212" s="19">
        <v>2.10211391182921E-2</v>
      </c>
      <c r="D212" s="19">
        <v>6.6593732336592035E-2</v>
      </c>
      <c r="E212" s="19">
        <v>3.012494913448422E-3</v>
      </c>
      <c r="F212" s="19">
        <v>1.1583030875669215E-2</v>
      </c>
      <c r="G212" s="23">
        <v>0.14133229483483237</v>
      </c>
    </row>
    <row r="213" spans="2:7" x14ac:dyDescent="0.3">
      <c r="B213" s="32" t="s">
        <v>10</v>
      </c>
      <c r="C213" s="19">
        <v>5.8184259895958414E-2</v>
      </c>
      <c r="D213" s="23">
        <v>0.53652354195231899</v>
      </c>
      <c r="E213" s="19">
        <v>4.8931396535302131E-2</v>
      </c>
      <c r="F213" s="19">
        <v>8.4094323439868779E-2</v>
      </c>
      <c r="G213" s="19">
        <v>6.7366919643896572E-2</v>
      </c>
    </row>
    <row r="214" spans="2:7" x14ac:dyDescent="0.3">
      <c r="B214" s="32" t="s">
        <v>11</v>
      </c>
      <c r="C214" s="23">
        <v>0.68762793008542</v>
      </c>
      <c r="D214" s="19">
        <v>7.3872972587374491E-2</v>
      </c>
      <c r="E214" s="19">
        <v>5.6306864751762211E-4</v>
      </c>
      <c r="F214" s="19">
        <v>0.11768424908983549</v>
      </c>
      <c r="G214" s="19">
        <v>5.2183432322621116E-6</v>
      </c>
    </row>
    <row r="215" spans="2:7" x14ac:dyDescent="0.3">
      <c r="B215" s="32" t="s">
        <v>12</v>
      </c>
      <c r="C215" s="23">
        <v>0.82397279227763276</v>
      </c>
      <c r="D215" s="19">
        <v>1.2667821527570756E-7</v>
      </c>
      <c r="E215" s="19">
        <v>6.2912380982708439E-3</v>
      </c>
      <c r="F215" s="19">
        <v>2.8983018141856037E-3</v>
      </c>
      <c r="G215" s="19">
        <v>2.1689300154855033E-2</v>
      </c>
    </row>
    <row r="216" spans="2:7" x14ac:dyDescent="0.3">
      <c r="B216" s="32" t="s">
        <v>13</v>
      </c>
      <c r="C216" s="19">
        <v>0.23910085690734675</v>
      </c>
      <c r="D216" s="19">
        <v>0.19522872489889742</v>
      </c>
      <c r="E216" s="19">
        <v>5.4363160649331145E-2</v>
      </c>
      <c r="F216" s="19">
        <v>3.5425847965865884E-2</v>
      </c>
      <c r="G216" s="23">
        <v>0.24864330651465386</v>
      </c>
    </row>
    <row r="217" spans="2:7" x14ac:dyDescent="0.3">
      <c r="B217" s="32" t="s">
        <v>14</v>
      </c>
      <c r="C217" s="19">
        <v>3.7511863294513254E-2</v>
      </c>
      <c r="D217" s="19">
        <v>0.32878851690198091</v>
      </c>
      <c r="E217" s="23">
        <v>0.42083064278255955</v>
      </c>
      <c r="F217" s="19">
        <v>8.3123102751770109E-2</v>
      </c>
      <c r="G217" s="19">
        <v>1.9409324204099552E-2</v>
      </c>
    </row>
    <row r="218" spans="2:7" x14ac:dyDescent="0.3">
      <c r="B218" s="32" t="s">
        <v>15</v>
      </c>
      <c r="C218" s="23">
        <v>0.45699859553496786</v>
      </c>
      <c r="D218" s="19">
        <v>3.7048369941834145E-4</v>
      </c>
      <c r="E218" s="19">
        <v>9.2588186172355459E-3</v>
      </c>
      <c r="F218" s="19">
        <v>3.044517379928622E-3</v>
      </c>
      <c r="G218" s="19">
        <v>5.9509721877398232E-2</v>
      </c>
    </row>
    <row r="219" spans="2:7" x14ac:dyDescent="0.3">
      <c r="B219" s="32" t="s">
        <v>16</v>
      </c>
      <c r="C219" s="19">
        <v>0.25041484428836908</v>
      </c>
      <c r="D219" s="19">
        <v>0.12927378925828184</v>
      </c>
      <c r="E219" s="19">
        <v>4.4548570866182217E-3</v>
      </c>
      <c r="F219" s="23">
        <v>0.50590751843080206</v>
      </c>
      <c r="G219" s="19">
        <v>6.8665135105726555E-2</v>
      </c>
    </row>
    <row r="220" spans="2:7" x14ac:dyDescent="0.3">
      <c r="B220" s="32" t="s">
        <v>17</v>
      </c>
      <c r="C220" s="23">
        <v>0.80603193661667705</v>
      </c>
      <c r="D220" s="19">
        <v>3.6374975085310228E-2</v>
      </c>
      <c r="E220" s="19">
        <v>5.1508421506926668E-3</v>
      </c>
      <c r="F220" s="19">
        <v>9.257260393876126E-3</v>
      </c>
      <c r="G220" s="19">
        <v>5.6517411365989853E-2</v>
      </c>
    </row>
    <row r="221" spans="2:7" x14ac:dyDescent="0.3">
      <c r="B221" s="32" t="s">
        <v>18</v>
      </c>
      <c r="C221" s="23">
        <v>0.61655543335490115</v>
      </c>
      <c r="D221" s="19">
        <v>0.18935715992308633</v>
      </c>
      <c r="E221" s="19">
        <v>4.7547645530410937E-2</v>
      </c>
      <c r="F221" s="19">
        <v>5.8270434702872839E-2</v>
      </c>
      <c r="G221" s="19">
        <v>2.5880267429542289E-2</v>
      </c>
    </row>
    <row r="222" spans="2:7" x14ac:dyDescent="0.3">
      <c r="B222" s="32" t="s">
        <v>19</v>
      </c>
      <c r="C222" s="23">
        <v>0.70617256928442929</v>
      </c>
      <c r="D222" s="19">
        <v>7.9441906713263025E-2</v>
      </c>
      <c r="E222" s="19">
        <v>5.9197647245386911E-2</v>
      </c>
      <c r="F222" s="19">
        <v>3.5726313979928663E-3</v>
      </c>
      <c r="G222" s="19">
        <v>1.4818610776320485E-2</v>
      </c>
    </row>
    <row r="223" spans="2:7" x14ac:dyDescent="0.3">
      <c r="B223" s="32" t="s">
        <v>20</v>
      </c>
      <c r="C223" s="19">
        <v>0.12757744241669544</v>
      </c>
      <c r="D223" s="19">
        <v>0.12039767628835804</v>
      </c>
      <c r="E223" s="19">
        <v>4.3407824633304247E-2</v>
      </c>
      <c r="F223" s="23">
        <v>0.33742657903578738</v>
      </c>
      <c r="G223" s="19">
        <v>0.32433761835366359</v>
      </c>
    </row>
    <row r="224" spans="2:7" x14ac:dyDescent="0.3">
      <c r="B224" s="32" t="s">
        <v>21</v>
      </c>
      <c r="C224" s="19">
        <v>0.20716701463222906</v>
      </c>
      <c r="D224" s="19">
        <v>0.11531331595053623</v>
      </c>
      <c r="E224" s="19">
        <v>6.2967180499623188E-3</v>
      </c>
      <c r="F224" s="19">
        <v>0.14543814287796658</v>
      </c>
      <c r="G224" s="23">
        <v>0.24850105157387076</v>
      </c>
    </row>
    <row r="225" spans="2:7" x14ac:dyDescent="0.3">
      <c r="B225" s="32" t="s">
        <v>22</v>
      </c>
      <c r="C225" s="23">
        <v>0.83823772420333587</v>
      </c>
      <c r="D225" s="19">
        <v>6.0721308456931321E-2</v>
      </c>
      <c r="E225" s="19">
        <v>4.6784942561263294E-3</v>
      </c>
      <c r="F225" s="19">
        <v>2.2535740620312071E-2</v>
      </c>
      <c r="G225" s="19">
        <v>1.0358986786910603E-3</v>
      </c>
    </row>
    <row r="226" spans="2:7" x14ac:dyDescent="0.3">
      <c r="B226" s="32" t="s">
        <v>23</v>
      </c>
      <c r="C226" s="19">
        <v>2.6459473505995798E-5</v>
      </c>
      <c r="D226" s="19">
        <v>6.5776039078479999E-4</v>
      </c>
      <c r="E226" s="19">
        <v>0.32867511426942181</v>
      </c>
      <c r="F226" s="19">
        <v>0.15719150698972625</v>
      </c>
      <c r="G226" s="23">
        <v>0.33072668116930098</v>
      </c>
    </row>
    <row r="227" spans="2:7" x14ac:dyDescent="0.3">
      <c r="B227" s="32" t="s">
        <v>24</v>
      </c>
      <c r="C227" s="23">
        <v>0.78026647557085749</v>
      </c>
      <c r="D227" s="19">
        <v>4.5581060471920065E-2</v>
      </c>
      <c r="E227" s="19">
        <v>1.9996947999662239E-2</v>
      </c>
      <c r="F227" s="19">
        <v>5.7710898854499794E-2</v>
      </c>
      <c r="G227" s="19">
        <v>2.5053369949664577E-3</v>
      </c>
    </row>
    <row r="228" spans="2:7" x14ac:dyDescent="0.3">
      <c r="B228" s="32" t="s">
        <v>25</v>
      </c>
      <c r="C228" s="23">
        <v>0.67448911756619234</v>
      </c>
      <c r="D228" s="19">
        <v>7.6995934890448453E-2</v>
      </c>
      <c r="E228" s="19">
        <v>7.3265783132071327E-2</v>
      </c>
      <c r="F228" s="19">
        <v>1.61278912358351E-2</v>
      </c>
      <c r="G228" s="19">
        <v>7.863876482751506E-3</v>
      </c>
    </row>
    <row r="229" spans="2:7" ht="15" thickBot="1" x14ac:dyDescent="0.35">
      <c r="B229" s="42" t="s">
        <v>26</v>
      </c>
      <c r="C229" s="25">
        <v>0.71920151568183388</v>
      </c>
      <c r="D229" s="20">
        <v>9.2464890211809314E-2</v>
      </c>
      <c r="E229" s="20">
        <v>8.2235261204255741E-2</v>
      </c>
      <c r="F229" s="20">
        <v>6.2570679294157044E-4</v>
      </c>
      <c r="G229" s="20">
        <v>2.9534173218507698E-2</v>
      </c>
    </row>
    <row r="230" spans="2:7" x14ac:dyDescent="0.3">
      <c r="B230" s="27" t="s">
        <v>378</v>
      </c>
    </row>
    <row r="233" spans="2:7" x14ac:dyDescent="0.3">
      <c r="B233" s="31" t="s">
        <v>379</v>
      </c>
    </row>
    <row r="234" spans="2:7" ht="15" thickBot="1" x14ac:dyDescent="0.35"/>
    <row r="235" spans="2:7" x14ac:dyDescent="0.3">
      <c r="B235" s="34"/>
      <c r="C235" s="35" t="s">
        <v>346</v>
      </c>
      <c r="D235" s="35" t="s">
        <v>347</v>
      </c>
      <c r="E235" s="35" t="s">
        <v>348</v>
      </c>
      <c r="F235" s="35" t="s">
        <v>349</v>
      </c>
      <c r="G235" s="35" t="s">
        <v>350</v>
      </c>
    </row>
    <row r="236" spans="2:7" x14ac:dyDescent="0.3">
      <c r="B236" s="41" t="s">
        <v>29</v>
      </c>
      <c r="C236" s="18">
        <v>-2.770010466788567</v>
      </c>
      <c r="D236" s="18">
        <v>5.1631674639664942</v>
      </c>
      <c r="E236" s="18">
        <v>3.7175152583739624</v>
      </c>
      <c r="F236" s="18">
        <v>2.6632797133282984</v>
      </c>
      <c r="G236" s="18">
        <v>-1.9660292187254431</v>
      </c>
    </row>
    <row r="237" spans="2:7" x14ac:dyDescent="0.3">
      <c r="B237" s="32" t="s">
        <v>32</v>
      </c>
      <c r="C237" s="19">
        <v>-2.6693152229172492</v>
      </c>
      <c r="D237" s="19">
        <v>5.2121028939294094</v>
      </c>
      <c r="E237" s="19">
        <v>3.7712840813195463</v>
      </c>
      <c r="F237" s="19">
        <v>2.5846314523471587</v>
      </c>
      <c r="G237" s="19">
        <v>-1.5622913767640179</v>
      </c>
    </row>
    <row r="238" spans="2:7" x14ac:dyDescent="0.3">
      <c r="B238" s="32" t="s">
        <v>35</v>
      </c>
      <c r="C238" s="19">
        <v>-2.9035495123890622</v>
      </c>
      <c r="D238" s="19">
        <v>6.6204529506929806</v>
      </c>
      <c r="E238" s="19">
        <v>4.8560935882896743</v>
      </c>
      <c r="F238" s="19">
        <v>3.2632601814134716</v>
      </c>
      <c r="G238" s="19">
        <v>-2.2539065580823041</v>
      </c>
    </row>
    <row r="239" spans="2:7" x14ac:dyDescent="0.3">
      <c r="B239" s="32" t="s">
        <v>38</v>
      </c>
      <c r="C239" s="19">
        <v>1.734422552867533</v>
      </c>
      <c r="D239" s="19">
        <v>1.0655772934224625</v>
      </c>
      <c r="E239" s="19">
        <v>-0.88892327058969345</v>
      </c>
      <c r="F239" s="19">
        <v>1.0701211983370795</v>
      </c>
      <c r="G239" s="19">
        <v>0.22418952884585017</v>
      </c>
    </row>
    <row r="240" spans="2:7" x14ac:dyDescent="0.3">
      <c r="B240" s="32" t="s">
        <v>41</v>
      </c>
      <c r="C240" s="19">
        <v>1.243505182836913</v>
      </c>
      <c r="D240" s="19">
        <v>2.0481183279592527</v>
      </c>
      <c r="E240" s="19">
        <v>-0.92419563619346379</v>
      </c>
      <c r="F240" s="19">
        <v>-0.1728359130114227</v>
      </c>
      <c r="G240" s="19">
        <v>0.2094899306792789</v>
      </c>
    </row>
    <row r="241" spans="2:7" x14ac:dyDescent="0.3">
      <c r="B241" s="32" t="s">
        <v>44</v>
      </c>
      <c r="C241" s="19">
        <v>1.9941909850411978</v>
      </c>
      <c r="D241" s="19">
        <v>0.88145056911490305</v>
      </c>
      <c r="E241" s="19">
        <v>-0.69324848397414052</v>
      </c>
      <c r="F241" s="19">
        <v>0.23782569811822449</v>
      </c>
      <c r="G241" s="19">
        <v>-0.21045647670360459</v>
      </c>
    </row>
    <row r="242" spans="2:7" x14ac:dyDescent="0.3">
      <c r="B242" s="32" t="s">
        <v>47</v>
      </c>
      <c r="C242" s="19">
        <v>1.9509882963164644</v>
      </c>
      <c r="D242" s="19">
        <v>0.90665248750559024</v>
      </c>
      <c r="E242" s="19">
        <v>-0.83999736497744371</v>
      </c>
      <c r="F242" s="19">
        <v>0.4793088560140526</v>
      </c>
      <c r="G242" s="19">
        <v>-0.18431509458302778</v>
      </c>
    </row>
    <row r="243" spans="2:7" x14ac:dyDescent="0.3">
      <c r="B243" s="32" t="s">
        <v>50</v>
      </c>
      <c r="C243" s="19">
        <v>1.3737116003663403</v>
      </c>
      <c r="D243" s="19">
        <v>1.9858608101360067</v>
      </c>
      <c r="E243" s="19">
        <v>-1.1055420471337714</v>
      </c>
      <c r="F243" s="19">
        <v>-0.54501784192874581</v>
      </c>
      <c r="G243" s="19">
        <v>0.89533825594468197</v>
      </c>
    </row>
    <row r="244" spans="2:7" x14ac:dyDescent="0.3">
      <c r="B244" s="32" t="s">
        <v>53</v>
      </c>
      <c r="C244" s="19">
        <v>1.785667254953637</v>
      </c>
      <c r="D244" s="19">
        <v>2.5250301818908549</v>
      </c>
      <c r="E244" s="19">
        <v>-0.49578236241064388</v>
      </c>
      <c r="F244" s="19">
        <v>0.18494799264429426</v>
      </c>
      <c r="G244" s="19">
        <v>0.26810339139442629</v>
      </c>
    </row>
    <row r="245" spans="2:7" x14ac:dyDescent="0.3">
      <c r="B245" s="32" t="s">
        <v>56</v>
      </c>
      <c r="C245" s="19">
        <v>1.0609851364915723</v>
      </c>
      <c r="D245" s="19">
        <v>1.5386720705350101</v>
      </c>
      <c r="E245" s="19">
        <v>-0.96929626681076575</v>
      </c>
      <c r="F245" s="19">
        <v>7.7789710847872548E-2</v>
      </c>
      <c r="G245" s="19">
        <v>0.17443341194931461</v>
      </c>
    </row>
    <row r="246" spans="2:7" x14ac:dyDescent="0.3">
      <c r="B246" s="32" t="s">
        <v>59</v>
      </c>
      <c r="C246" s="19">
        <v>1.529818828046648</v>
      </c>
      <c r="D246" s="19">
        <v>2.3354616851339181</v>
      </c>
      <c r="E246" s="19">
        <v>-0.92764774459746546</v>
      </c>
      <c r="F246" s="19">
        <v>-0.40512150474487751</v>
      </c>
      <c r="G246" s="19">
        <v>1.0268043939804647</v>
      </c>
    </row>
    <row r="247" spans="2:7" x14ac:dyDescent="0.3">
      <c r="B247" s="32" t="s">
        <v>62</v>
      </c>
      <c r="C247" s="19">
        <v>-1.7807359408741856</v>
      </c>
      <c r="D247" s="19">
        <v>-0.97937721050555293</v>
      </c>
      <c r="E247" s="19">
        <v>-1.0740810604449051</v>
      </c>
      <c r="F247" s="19">
        <v>0.10419000537370286</v>
      </c>
      <c r="G247" s="19">
        <v>-0.35800279918014188</v>
      </c>
    </row>
    <row r="248" spans="2:7" x14ac:dyDescent="0.3">
      <c r="B248" s="32" t="s">
        <v>65</v>
      </c>
      <c r="C248" s="19">
        <v>-1.6946330745298221</v>
      </c>
      <c r="D248" s="19">
        <v>-1.4918653038564511</v>
      </c>
      <c r="E248" s="19">
        <v>-0.80503577140855898</v>
      </c>
      <c r="F248" s="19">
        <v>-1.1194656303119178E-2</v>
      </c>
      <c r="G248" s="19">
        <v>-8.7057115709672117E-2</v>
      </c>
    </row>
    <row r="249" spans="2:7" x14ac:dyDescent="0.3">
      <c r="B249" s="32" t="s">
        <v>68</v>
      </c>
      <c r="C249" s="19">
        <v>-1.7342345383180744</v>
      </c>
      <c r="D249" s="19">
        <v>-1.2453165293960793</v>
      </c>
      <c r="E249" s="19">
        <v>-0.99406378861075562</v>
      </c>
      <c r="F249" s="19">
        <v>-0.34624708106400487</v>
      </c>
      <c r="G249" s="19">
        <v>0.10949298358240765</v>
      </c>
    </row>
    <row r="250" spans="2:7" x14ac:dyDescent="0.3">
      <c r="B250" s="32" t="s">
        <v>71</v>
      </c>
      <c r="C250" s="19">
        <v>-1.5659010878296569</v>
      </c>
      <c r="D250" s="19">
        <v>-0.99442547201084353</v>
      </c>
      <c r="E250" s="19">
        <v>-0.93336870111966685</v>
      </c>
      <c r="F250" s="19">
        <v>-7.5197281530947457E-2</v>
      </c>
      <c r="G250" s="19">
        <v>-6.698764967019151E-2</v>
      </c>
    </row>
    <row r="251" spans="2:7" x14ac:dyDescent="0.3">
      <c r="B251" s="32" t="s">
        <v>74</v>
      </c>
      <c r="C251" s="19">
        <v>-1.734358629325321</v>
      </c>
      <c r="D251" s="19">
        <v>-1.1856353886957498</v>
      </c>
      <c r="E251" s="19">
        <v>-1.2787968477465004</v>
      </c>
      <c r="F251" s="19">
        <v>-1.0855025108496027E-2</v>
      </c>
      <c r="G251" s="19">
        <v>-0.19969814535020278</v>
      </c>
    </row>
    <row r="252" spans="2:7" x14ac:dyDescent="0.3">
      <c r="B252" s="32" t="s">
        <v>77</v>
      </c>
      <c r="C252" s="19">
        <v>-1.7657616908505962</v>
      </c>
      <c r="D252" s="19">
        <v>1.2914425077294585</v>
      </c>
      <c r="E252" s="19">
        <v>0.52225893708692006</v>
      </c>
      <c r="F252" s="19">
        <v>0.53113006548825004</v>
      </c>
      <c r="G252" s="19">
        <v>-0.28357683018756585</v>
      </c>
    </row>
    <row r="253" spans="2:7" x14ac:dyDescent="0.3">
      <c r="B253" s="32" t="s">
        <v>80</v>
      </c>
      <c r="C253" s="19">
        <v>1.872999920848305</v>
      </c>
      <c r="D253" s="19">
        <v>1.9218402591999519</v>
      </c>
      <c r="E253" s="19">
        <v>-1.2053062147444167</v>
      </c>
      <c r="F253" s="19">
        <v>-0.201397815707485</v>
      </c>
      <c r="G253" s="19">
        <v>0.46683644927814999</v>
      </c>
    </row>
    <row r="254" spans="2:7" x14ac:dyDescent="0.3">
      <c r="B254" s="32" t="s">
        <v>83</v>
      </c>
      <c r="C254" s="19">
        <v>3.1990037565171452</v>
      </c>
      <c r="D254" s="19">
        <v>-0.25146525038021167</v>
      </c>
      <c r="E254" s="19">
        <v>-0.60161250223403639</v>
      </c>
      <c r="F254" s="19">
        <v>1.0199373162037171</v>
      </c>
      <c r="G254" s="19">
        <v>0.57668607445062103</v>
      </c>
    </row>
    <row r="255" spans="2:7" x14ac:dyDescent="0.3">
      <c r="B255" s="32" t="s">
        <v>86</v>
      </c>
      <c r="C255" s="19">
        <v>0.87280074351675396</v>
      </c>
      <c r="D255" s="19">
        <v>1.9822948932692444</v>
      </c>
      <c r="E255" s="19">
        <v>-0.87601526857180279</v>
      </c>
      <c r="F255" s="19">
        <v>0.18093667496941207</v>
      </c>
      <c r="G255" s="19">
        <v>0.22377103851306088</v>
      </c>
    </row>
    <row r="256" spans="2:7" x14ac:dyDescent="0.3">
      <c r="B256" s="32" t="s">
        <v>89</v>
      </c>
      <c r="C256" s="19">
        <v>4.4391324470032814</v>
      </c>
      <c r="D256" s="19">
        <v>-0.82222849977664159</v>
      </c>
      <c r="E256" s="19">
        <v>1.9297979735939466</v>
      </c>
      <c r="F256" s="19">
        <v>1.0277014885707234</v>
      </c>
      <c r="G256" s="19">
        <v>6.3551430028037622E-3</v>
      </c>
    </row>
    <row r="257" spans="2:7" x14ac:dyDescent="0.3">
      <c r="B257" s="32" t="s">
        <v>92</v>
      </c>
      <c r="C257" s="19">
        <v>1.7370561389722343</v>
      </c>
      <c r="D257" s="19">
        <v>1.6079030601955093</v>
      </c>
      <c r="E257" s="19">
        <v>-1.2367327608660112</v>
      </c>
      <c r="F257" s="19">
        <v>-0.13237132510011185</v>
      </c>
      <c r="G257" s="19">
        <v>0.2073844359313021</v>
      </c>
    </row>
    <row r="258" spans="2:7" x14ac:dyDescent="0.3">
      <c r="B258" s="32" t="s">
        <v>95</v>
      </c>
      <c r="C258" s="19">
        <v>2.1856132172238789</v>
      </c>
      <c r="D258" s="19">
        <v>2.2494045071718975</v>
      </c>
      <c r="E258" s="19">
        <v>-1.1349601622859387</v>
      </c>
      <c r="F258" s="19">
        <v>0.19704591551885528</v>
      </c>
      <c r="G258" s="19">
        <v>0.2582631154127713</v>
      </c>
    </row>
    <row r="259" spans="2:7" x14ac:dyDescent="0.3">
      <c r="B259" s="32" t="s">
        <v>98</v>
      </c>
      <c r="C259" s="19">
        <v>1.4955331233917639</v>
      </c>
      <c r="D259" s="19">
        <v>1.3766225668340182</v>
      </c>
      <c r="E259" s="19">
        <v>-0.57479959785313683</v>
      </c>
      <c r="F259" s="19">
        <v>0.1936546082650662</v>
      </c>
      <c r="G259" s="19">
        <v>-0.79224580195260053</v>
      </c>
    </row>
    <row r="260" spans="2:7" x14ac:dyDescent="0.3">
      <c r="B260" s="32" t="s">
        <v>101</v>
      </c>
      <c r="C260" s="19">
        <v>1.4788644700082372</v>
      </c>
      <c r="D260" s="19">
        <v>2.1187926480743546</v>
      </c>
      <c r="E260" s="19">
        <v>-1.1667269944609127</v>
      </c>
      <c r="F260" s="19">
        <v>-0.49952438067256677</v>
      </c>
      <c r="G260" s="19">
        <v>0.966842759860575</v>
      </c>
    </row>
    <row r="261" spans="2:7" x14ac:dyDescent="0.3">
      <c r="B261" s="32" t="s">
        <v>104</v>
      </c>
      <c r="C261" s="19">
        <v>0.96243773729951776</v>
      </c>
      <c r="D261" s="19">
        <v>1.4224695930286984</v>
      </c>
      <c r="E261" s="19">
        <v>-1.1215658993395472</v>
      </c>
      <c r="F261" s="19">
        <v>-0.66189195664348399</v>
      </c>
      <c r="G261" s="19">
        <v>0.55167900214564569</v>
      </c>
    </row>
    <row r="262" spans="2:7" x14ac:dyDescent="0.3">
      <c r="B262" s="32" t="s">
        <v>107</v>
      </c>
      <c r="C262" s="19">
        <v>0.3941099940108459</v>
      </c>
      <c r="D262" s="19">
        <v>1.3502756144093266</v>
      </c>
      <c r="E262" s="19">
        <v>-1.0586292809219686</v>
      </c>
      <c r="F262" s="19">
        <v>-1.8674047087701311E-2</v>
      </c>
      <c r="G262" s="19">
        <v>0.11835710966097553</v>
      </c>
    </row>
    <row r="263" spans="2:7" x14ac:dyDescent="0.3">
      <c r="B263" s="32" t="s">
        <v>110</v>
      </c>
      <c r="C263" s="19">
        <v>0.75910221262003452</v>
      </c>
      <c r="D263" s="19">
        <v>0.88598237228904364</v>
      </c>
      <c r="E263" s="19">
        <v>-1.5429948471309487</v>
      </c>
      <c r="F263" s="19">
        <v>-0.27015964128977399</v>
      </c>
      <c r="G263" s="19">
        <v>0.34493587961012384</v>
      </c>
    </row>
    <row r="264" spans="2:7" x14ac:dyDescent="0.3">
      <c r="B264" s="32" t="s">
        <v>113</v>
      </c>
      <c r="C264" s="19">
        <v>2.4761855084595124</v>
      </c>
      <c r="D264" s="19">
        <v>1.5623038367863726</v>
      </c>
      <c r="E264" s="19">
        <v>-0.98624136462812184</v>
      </c>
      <c r="F264" s="19">
        <v>-0.27395329606298185</v>
      </c>
      <c r="G264" s="19">
        <v>0.33308265905751466</v>
      </c>
    </row>
    <row r="265" spans="2:7" x14ac:dyDescent="0.3">
      <c r="B265" s="32" t="s">
        <v>116</v>
      </c>
      <c r="C265" s="19">
        <v>1.2543099515600422</v>
      </c>
      <c r="D265" s="19">
        <v>2.104051305286804</v>
      </c>
      <c r="E265" s="19">
        <v>-1.0028946098008178</v>
      </c>
      <c r="F265" s="19">
        <v>-6.2746234195215703E-2</v>
      </c>
      <c r="G265" s="19">
        <v>0.2988692471756037</v>
      </c>
    </row>
    <row r="266" spans="2:7" x14ac:dyDescent="0.3">
      <c r="B266" s="32" t="s">
        <v>119</v>
      </c>
      <c r="C266" s="19">
        <v>-1.7150662137549815</v>
      </c>
      <c r="D266" s="19">
        <v>0.43420761487781961</v>
      </c>
      <c r="E266" s="19">
        <v>0.11334635342791842</v>
      </c>
      <c r="F266" s="19">
        <v>0.67779492662160878</v>
      </c>
      <c r="G266" s="19">
        <v>-0.4772520527320947</v>
      </c>
    </row>
    <row r="267" spans="2:7" x14ac:dyDescent="0.3">
      <c r="B267" s="32" t="s">
        <v>122</v>
      </c>
      <c r="C267" s="19">
        <v>2.9130453844624333</v>
      </c>
      <c r="D267" s="19">
        <v>2.6518994245559928</v>
      </c>
      <c r="E267" s="19">
        <v>-0.49162997248426238</v>
      </c>
      <c r="F267" s="19">
        <v>-1.0464083147888981</v>
      </c>
      <c r="G267" s="19">
        <v>1.6767276347559632</v>
      </c>
    </row>
    <row r="268" spans="2:7" x14ac:dyDescent="0.3">
      <c r="B268" s="32" t="s">
        <v>125</v>
      </c>
      <c r="C268" s="19">
        <v>3.0147542680708379</v>
      </c>
      <c r="D268" s="19">
        <v>2.4196732994260901</v>
      </c>
      <c r="E268" s="19">
        <v>-1.5749783716968115</v>
      </c>
      <c r="F268" s="19">
        <v>-0.84139491503399844</v>
      </c>
      <c r="G268" s="19">
        <v>1.662189949285535</v>
      </c>
    </row>
    <row r="269" spans="2:7" x14ac:dyDescent="0.3">
      <c r="B269" s="32" t="s">
        <v>128</v>
      </c>
      <c r="C269" s="19">
        <v>1.0034163067494519</v>
      </c>
      <c r="D269" s="19">
        <v>2.0720098993317073</v>
      </c>
      <c r="E269" s="19">
        <v>-1.0459436362242323</v>
      </c>
      <c r="F269" s="19">
        <v>-0.13514730831303634</v>
      </c>
      <c r="G269" s="19">
        <v>0.18227469577016087</v>
      </c>
    </row>
    <row r="270" spans="2:7" x14ac:dyDescent="0.3">
      <c r="B270" s="32" t="s">
        <v>131</v>
      </c>
      <c r="C270" s="19">
        <v>1.540949478409954</v>
      </c>
      <c r="D270" s="19">
        <v>1.9467350203041198</v>
      </c>
      <c r="E270" s="19">
        <v>-1.2538469153853005</v>
      </c>
      <c r="F270" s="19">
        <v>-0.30908610880045345</v>
      </c>
      <c r="G270" s="19">
        <v>0.65594584633290309</v>
      </c>
    </row>
    <row r="271" spans="2:7" x14ac:dyDescent="0.3">
      <c r="B271" s="32" t="s">
        <v>134</v>
      </c>
      <c r="C271" s="19">
        <v>-1.1193755027885457</v>
      </c>
      <c r="D271" s="19">
        <v>0.15169975405413774</v>
      </c>
      <c r="E271" s="19">
        <v>-1.1123014766542541</v>
      </c>
      <c r="F271" s="19">
        <v>-0.19782864037369166</v>
      </c>
      <c r="G271" s="19">
        <v>0.19247560246528916</v>
      </c>
    </row>
    <row r="272" spans="2:7" x14ac:dyDescent="0.3">
      <c r="B272" s="32" t="s">
        <v>137</v>
      </c>
      <c r="C272" s="19">
        <v>-0.87743306801363308</v>
      </c>
      <c r="D272" s="19">
        <v>-4.432142326262585E-2</v>
      </c>
      <c r="E272" s="19">
        <v>-1.2690098660333007</v>
      </c>
      <c r="F272" s="19">
        <v>-0.42254198268975135</v>
      </c>
      <c r="G272" s="19">
        <v>0.4939978153464733</v>
      </c>
    </row>
    <row r="273" spans="2:7" x14ac:dyDescent="0.3">
      <c r="B273" s="32" t="s">
        <v>140</v>
      </c>
      <c r="C273" s="19">
        <v>2.3927991450639805</v>
      </c>
      <c r="D273" s="19">
        <v>1.9924197442036224</v>
      </c>
      <c r="E273" s="19">
        <v>-1.3674240444034904</v>
      </c>
      <c r="F273" s="19">
        <v>-1.0461407008798023</v>
      </c>
      <c r="G273" s="19">
        <v>1.4926606795804183</v>
      </c>
    </row>
    <row r="274" spans="2:7" x14ac:dyDescent="0.3">
      <c r="B274" s="32" t="s">
        <v>143</v>
      </c>
      <c r="C274" s="19">
        <v>2.0922384811666026</v>
      </c>
      <c r="D274" s="19">
        <v>1.4615833679551946</v>
      </c>
      <c r="E274" s="19">
        <v>-0.82308638427920677</v>
      </c>
      <c r="F274" s="19">
        <v>0.25352333622978523</v>
      </c>
      <c r="G274" s="19">
        <v>0.44478644469188355</v>
      </c>
    </row>
    <row r="275" spans="2:7" x14ac:dyDescent="0.3">
      <c r="B275" s="32" t="s">
        <v>146</v>
      </c>
      <c r="C275" s="19">
        <v>2.6829535524811039</v>
      </c>
      <c r="D275" s="19">
        <v>1.8423734306664434</v>
      </c>
      <c r="E275" s="19">
        <v>-1.1813091403311073</v>
      </c>
      <c r="F275" s="19">
        <v>0.1349277885440083</v>
      </c>
      <c r="G275" s="19">
        <v>8.288902936819216E-2</v>
      </c>
    </row>
    <row r="276" spans="2:7" x14ac:dyDescent="0.3">
      <c r="B276" s="32" t="s">
        <v>149</v>
      </c>
      <c r="C276" s="19">
        <v>1.6669547667754046</v>
      </c>
      <c r="D276" s="19">
        <v>1.5495380927565481</v>
      </c>
      <c r="E276" s="19">
        <v>-1.4152426340368081</v>
      </c>
      <c r="F276" s="19">
        <v>-7.711693994933233E-2</v>
      </c>
      <c r="G276" s="19">
        <v>-5.5875037884464927E-3</v>
      </c>
    </row>
    <row r="277" spans="2:7" x14ac:dyDescent="0.3">
      <c r="B277" s="32" t="s">
        <v>152</v>
      </c>
      <c r="C277" s="19">
        <v>1.7173372361938557</v>
      </c>
      <c r="D277" s="19">
        <v>2.746182663788443</v>
      </c>
      <c r="E277" s="19">
        <v>-0.25734311141510674</v>
      </c>
      <c r="F277" s="19">
        <v>-0.48412470705815619</v>
      </c>
      <c r="G277" s="19">
        <v>1.216993392409931</v>
      </c>
    </row>
    <row r="278" spans="2:7" x14ac:dyDescent="0.3">
      <c r="B278" s="32" t="s">
        <v>155</v>
      </c>
      <c r="C278" s="19">
        <v>1.40573157191256</v>
      </c>
      <c r="D278" s="19">
        <v>1.673498237868537</v>
      </c>
      <c r="E278" s="19">
        <v>-0.65586700826206323</v>
      </c>
      <c r="F278" s="19">
        <v>-0.52070821190560346</v>
      </c>
      <c r="G278" s="19">
        <v>0.25242461191976068</v>
      </c>
    </row>
    <row r="279" spans="2:7" x14ac:dyDescent="0.3">
      <c r="B279" s="32" t="s">
        <v>158</v>
      </c>
      <c r="C279" s="19">
        <v>1.6575182368052235</v>
      </c>
      <c r="D279" s="19">
        <v>2.1767550935826003</v>
      </c>
      <c r="E279" s="19">
        <v>-1.3620440887113217</v>
      </c>
      <c r="F279" s="19">
        <v>-0.83528593596764211</v>
      </c>
      <c r="G279" s="19">
        <v>1.0412137466037288</v>
      </c>
    </row>
    <row r="280" spans="2:7" x14ac:dyDescent="0.3">
      <c r="B280" s="32" t="s">
        <v>161</v>
      </c>
      <c r="C280" s="19">
        <v>1.4599321851782419</v>
      </c>
      <c r="D280" s="19">
        <v>0.92212358974014785</v>
      </c>
      <c r="E280" s="19">
        <v>-1.293536861208554</v>
      </c>
      <c r="F280" s="19">
        <v>-0.92415956580916747</v>
      </c>
      <c r="G280" s="19">
        <v>1.386254783625875</v>
      </c>
    </row>
    <row r="281" spans="2:7" x14ac:dyDescent="0.3">
      <c r="B281" s="32" t="s">
        <v>164</v>
      </c>
      <c r="C281" s="19">
        <v>1.1212470077135859</v>
      </c>
      <c r="D281" s="19">
        <v>1.3548390407530473</v>
      </c>
      <c r="E281" s="19">
        <v>-0.15788036607901912</v>
      </c>
      <c r="F281" s="19">
        <v>1.1430364814679645E-2</v>
      </c>
      <c r="G281" s="19">
        <v>0.29086340667937421</v>
      </c>
    </row>
    <row r="282" spans="2:7" x14ac:dyDescent="0.3">
      <c r="B282" s="32" t="s">
        <v>167</v>
      </c>
      <c r="C282" s="19">
        <v>1.7918784720490042</v>
      </c>
      <c r="D282" s="19">
        <v>1.7698862356276033</v>
      </c>
      <c r="E282" s="19">
        <v>-1.5256195721865837</v>
      </c>
      <c r="F282" s="19">
        <v>-0.72519375935972441</v>
      </c>
      <c r="G282" s="19">
        <v>0.77385999349554246</v>
      </c>
    </row>
    <row r="283" spans="2:7" x14ac:dyDescent="0.3">
      <c r="B283" s="32" t="s">
        <v>170</v>
      </c>
      <c r="C283" s="19">
        <v>1.2219170028170436</v>
      </c>
      <c r="D283" s="19">
        <v>0.78966007736569332</v>
      </c>
      <c r="E283" s="19">
        <v>-0.55435805075320066</v>
      </c>
      <c r="F283" s="19">
        <v>-0.44496500576185855</v>
      </c>
      <c r="G283" s="19">
        <v>0.49905229139266283</v>
      </c>
    </row>
    <row r="284" spans="2:7" x14ac:dyDescent="0.3">
      <c r="B284" s="32" t="s">
        <v>173</v>
      </c>
      <c r="C284" s="19">
        <v>-2.3397705920288683</v>
      </c>
      <c r="D284" s="19">
        <v>-0.81591374113327919</v>
      </c>
      <c r="E284" s="19">
        <v>-0.18854270860307387</v>
      </c>
      <c r="F284" s="19">
        <v>0.31141128364522219</v>
      </c>
      <c r="G284" s="19">
        <v>-0.86580858589438481</v>
      </c>
    </row>
    <row r="285" spans="2:7" x14ac:dyDescent="0.3">
      <c r="B285" s="32" t="s">
        <v>176</v>
      </c>
      <c r="C285" s="19">
        <v>-2.5304567012201291</v>
      </c>
      <c r="D285" s="19">
        <v>-0.15619700462512098</v>
      </c>
      <c r="E285" s="19">
        <v>0.31455011630407853</v>
      </c>
      <c r="F285" s="19">
        <v>0.62664391039723555</v>
      </c>
      <c r="G285" s="19">
        <v>-1.0736476217611177</v>
      </c>
    </row>
    <row r="286" spans="2:7" x14ac:dyDescent="0.3">
      <c r="B286" s="32" t="s">
        <v>179</v>
      </c>
      <c r="C286" s="19">
        <v>-2.6048471641057902</v>
      </c>
      <c r="D286" s="19">
        <v>0.84971362903066938</v>
      </c>
      <c r="E286" s="19">
        <v>0.95130252081866284</v>
      </c>
      <c r="F286" s="19">
        <v>1.0173908684825013</v>
      </c>
      <c r="G286" s="19">
        <v>-1.2646784477334585</v>
      </c>
    </row>
    <row r="287" spans="2:7" x14ac:dyDescent="0.3">
      <c r="B287" s="32" t="s">
        <v>182</v>
      </c>
      <c r="C287" s="19">
        <v>-2.561777655912429</v>
      </c>
      <c r="D287" s="19">
        <v>1.5562762513242896</v>
      </c>
      <c r="E287" s="19">
        <v>1.382962858756501</v>
      </c>
      <c r="F287" s="19">
        <v>1.3112257106174221</v>
      </c>
      <c r="G287" s="19">
        <v>-1.4681245953868343</v>
      </c>
    </row>
    <row r="288" spans="2:7" x14ac:dyDescent="0.3">
      <c r="B288" s="32" t="s">
        <v>185</v>
      </c>
      <c r="C288" s="19">
        <v>-2.3049662356980609</v>
      </c>
      <c r="D288" s="19">
        <v>6.9710887353717263E-2</v>
      </c>
      <c r="E288" s="19">
        <v>0.83213542159463372</v>
      </c>
      <c r="F288" s="19">
        <v>0.56912967941353576</v>
      </c>
      <c r="G288" s="19">
        <v>-0.85572072087307249</v>
      </c>
    </row>
    <row r="289" spans="2:7" x14ac:dyDescent="0.3">
      <c r="B289" s="32" t="s">
        <v>188</v>
      </c>
      <c r="C289" s="19">
        <v>-2.3069441756775242</v>
      </c>
      <c r="D289" s="19">
        <v>-0.68924902270318267</v>
      </c>
      <c r="E289" s="19">
        <v>-0.30489378261476985</v>
      </c>
      <c r="F289" s="19">
        <v>0.34300113879859284</v>
      </c>
      <c r="G289" s="19">
        <v>-0.90592079328424358</v>
      </c>
    </row>
    <row r="290" spans="2:7" x14ac:dyDescent="0.3">
      <c r="B290" s="32" t="s">
        <v>191</v>
      </c>
      <c r="C290" s="19">
        <v>-2.0718546908689954</v>
      </c>
      <c r="D290" s="19">
        <v>-0.17208551279584638</v>
      </c>
      <c r="E290" s="19">
        <v>0.21192793908252217</v>
      </c>
      <c r="F290" s="19">
        <v>0.50131859489581276</v>
      </c>
      <c r="G290" s="19">
        <v>-0.68583341035706935</v>
      </c>
    </row>
    <row r="291" spans="2:7" x14ac:dyDescent="0.3">
      <c r="B291" s="32" t="s">
        <v>194</v>
      </c>
      <c r="C291" s="19">
        <v>-1.8148943511814728</v>
      </c>
      <c r="D291" s="19">
        <v>-1.3737350729358524</v>
      </c>
      <c r="E291" s="19">
        <v>-0.25251247937458171</v>
      </c>
      <c r="F291" s="19">
        <v>-0.17487415555390898</v>
      </c>
      <c r="G291" s="19">
        <v>-0.62644917121103472</v>
      </c>
    </row>
    <row r="292" spans="2:7" x14ac:dyDescent="0.3">
      <c r="B292" s="32" t="s">
        <v>197</v>
      </c>
      <c r="C292" s="19">
        <v>-2.4014342563981042</v>
      </c>
      <c r="D292" s="19">
        <v>-0.20845510909858794</v>
      </c>
      <c r="E292" s="19">
        <v>0.73298501495117419</v>
      </c>
      <c r="F292" s="19">
        <v>0.60448772950165297</v>
      </c>
      <c r="G292" s="19">
        <v>-1.1617802112103848</v>
      </c>
    </row>
    <row r="293" spans="2:7" x14ac:dyDescent="0.3">
      <c r="B293" s="32" t="s">
        <v>200</v>
      </c>
      <c r="C293" s="19">
        <v>-2.4020792254855814</v>
      </c>
      <c r="D293" s="19">
        <v>-1.5494894247042994</v>
      </c>
      <c r="E293" s="19">
        <v>-0.9082359890167343</v>
      </c>
      <c r="F293" s="19">
        <v>7.3789712260671741E-2</v>
      </c>
      <c r="G293" s="19">
        <v>-0.70346209702341933</v>
      </c>
    </row>
    <row r="294" spans="2:7" x14ac:dyDescent="0.3">
      <c r="B294" s="32" t="s">
        <v>203</v>
      </c>
      <c r="C294" s="19">
        <v>-2.3767343627227953</v>
      </c>
      <c r="D294" s="19">
        <v>-1.5402377906425269</v>
      </c>
      <c r="E294" s="19">
        <v>-0.6445566380504214</v>
      </c>
      <c r="F294" s="19">
        <v>3.660448240352468E-2</v>
      </c>
      <c r="G294" s="19">
        <v>-0.73296790986329297</v>
      </c>
    </row>
    <row r="295" spans="2:7" x14ac:dyDescent="0.3">
      <c r="B295" s="32" t="s">
        <v>206</v>
      </c>
      <c r="C295" s="19">
        <v>7.5240689164632482</v>
      </c>
      <c r="D295" s="19">
        <v>-5.8160511989105732</v>
      </c>
      <c r="E295" s="19">
        <v>0.72456541997830826</v>
      </c>
      <c r="F295" s="19">
        <v>10.744350332718303</v>
      </c>
      <c r="G295" s="19">
        <v>4.9860426419880151</v>
      </c>
    </row>
    <row r="296" spans="2:7" x14ac:dyDescent="0.3">
      <c r="B296" s="32" t="s">
        <v>209</v>
      </c>
      <c r="C296" s="19">
        <v>-3.3640780446396756</v>
      </c>
      <c r="D296" s="19">
        <v>-0.74044932046244394</v>
      </c>
      <c r="E296" s="19">
        <v>0.54057233759231482</v>
      </c>
      <c r="F296" s="19">
        <v>-1.3605473893737664E-3</v>
      </c>
      <c r="G296" s="19">
        <v>-0.70798540772062957</v>
      </c>
    </row>
    <row r="297" spans="2:7" x14ac:dyDescent="0.3">
      <c r="B297" s="32" t="s">
        <v>212</v>
      </c>
      <c r="C297" s="19">
        <v>-3.3065259972987615</v>
      </c>
      <c r="D297" s="19">
        <v>-1.146821300383426</v>
      </c>
      <c r="E297" s="19">
        <v>-4.5835142411521264E-2</v>
      </c>
      <c r="F297" s="19">
        <v>-0.25934105386034345</v>
      </c>
      <c r="G297" s="19">
        <v>0.15715385754520966</v>
      </c>
    </row>
    <row r="298" spans="2:7" x14ac:dyDescent="0.3">
      <c r="B298" s="32" t="s">
        <v>215</v>
      </c>
      <c r="C298" s="19">
        <v>-0.34380069896122684</v>
      </c>
      <c r="D298" s="19">
        <v>4.1598350578037881E-2</v>
      </c>
      <c r="E298" s="19">
        <v>6.180577754276265</v>
      </c>
      <c r="F298" s="19">
        <v>-4.024884047848623</v>
      </c>
      <c r="G298" s="19">
        <v>4.7569376592000685</v>
      </c>
    </row>
    <row r="299" spans="2:7" x14ac:dyDescent="0.3">
      <c r="B299" s="32" t="s">
        <v>218</v>
      </c>
      <c r="C299" s="19">
        <v>-1.777010267056649</v>
      </c>
      <c r="D299" s="19">
        <v>-0.15928636364245496</v>
      </c>
      <c r="E299" s="19">
        <v>7.3751067217198472</v>
      </c>
      <c r="F299" s="19">
        <v>-1.9242476031784526</v>
      </c>
      <c r="G299" s="19">
        <v>2.7839874875272002</v>
      </c>
    </row>
    <row r="300" spans="2:7" x14ac:dyDescent="0.3">
      <c r="B300" s="32" t="s">
        <v>221</v>
      </c>
      <c r="C300" s="19">
        <v>-2.1476648216577292</v>
      </c>
      <c r="D300" s="19">
        <v>-1.0147455504863447</v>
      </c>
      <c r="E300" s="19">
        <v>0.76904931411865696</v>
      </c>
      <c r="F300" s="19">
        <v>-0.23026288890407257</v>
      </c>
      <c r="G300" s="19">
        <v>-0.75464356770904539</v>
      </c>
    </row>
    <row r="301" spans="2:7" x14ac:dyDescent="0.3">
      <c r="B301" s="32" t="s">
        <v>224</v>
      </c>
      <c r="C301" s="19">
        <v>-3.1451568572930326</v>
      </c>
      <c r="D301" s="19">
        <v>-0.35510365182273163</v>
      </c>
      <c r="E301" s="19">
        <v>1.7931917846096679</v>
      </c>
      <c r="F301" s="19">
        <v>-0.18841474379295498</v>
      </c>
      <c r="G301" s="19">
        <v>-1.098250403279364E-2</v>
      </c>
    </row>
    <row r="302" spans="2:7" x14ac:dyDescent="0.3">
      <c r="B302" s="32" t="s">
        <v>227</v>
      </c>
      <c r="C302" s="19">
        <v>-2.8586096892316029</v>
      </c>
      <c r="D302" s="19">
        <v>-0.2269037306494093</v>
      </c>
      <c r="E302" s="19">
        <v>2.5697321331724896</v>
      </c>
      <c r="F302" s="19">
        <v>-0.54851643184691612</v>
      </c>
      <c r="G302" s="19">
        <v>0.32719727321842229</v>
      </c>
    </row>
    <row r="303" spans="2:7" x14ac:dyDescent="0.3">
      <c r="B303" s="32" t="s">
        <v>230</v>
      </c>
      <c r="C303" s="19">
        <v>-2.6714218443740192</v>
      </c>
      <c r="D303" s="19">
        <v>-5.7989958159435168E-2</v>
      </c>
      <c r="E303" s="19">
        <v>1.4284684880106173</v>
      </c>
      <c r="F303" s="19">
        <v>-0.65205207543187227</v>
      </c>
      <c r="G303" s="19">
        <v>1.843379895297818</v>
      </c>
    </row>
    <row r="304" spans="2:7" x14ac:dyDescent="0.3">
      <c r="B304" s="32" t="s">
        <v>233</v>
      </c>
      <c r="C304" s="19">
        <v>-2.6547786995833613</v>
      </c>
      <c r="D304" s="19">
        <v>-1.1734088534012588</v>
      </c>
      <c r="E304" s="19">
        <v>-2.2912946369754942E-2</v>
      </c>
      <c r="F304" s="19">
        <v>-0.92449394072450775</v>
      </c>
      <c r="G304" s="19">
        <v>1.7329673309023292</v>
      </c>
    </row>
    <row r="305" spans="2:7" x14ac:dyDescent="0.3">
      <c r="B305" s="32" t="s">
        <v>236</v>
      </c>
      <c r="C305" s="19">
        <v>-2.3176880833561926</v>
      </c>
      <c r="D305" s="19">
        <v>-1.4410337543955947</v>
      </c>
      <c r="E305" s="19">
        <v>-0.67548694601320469</v>
      </c>
      <c r="F305" s="19">
        <v>0.23894453518020478</v>
      </c>
      <c r="G305" s="19">
        <v>-0.50456581143364942</v>
      </c>
    </row>
    <row r="306" spans="2:7" x14ac:dyDescent="0.3">
      <c r="B306" s="32" t="s">
        <v>239</v>
      </c>
      <c r="C306" s="19">
        <v>-2.2685186614853445</v>
      </c>
      <c r="D306" s="19">
        <v>-1.5903111039999478</v>
      </c>
      <c r="E306" s="19">
        <v>-0.78517874243299079</v>
      </c>
      <c r="F306" s="19">
        <v>6.5382866352040089E-2</v>
      </c>
      <c r="G306" s="19">
        <v>-0.8968479820356493</v>
      </c>
    </row>
    <row r="307" spans="2:7" x14ac:dyDescent="0.3">
      <c r="B307" s="32" t="s">
        <v>242</v>
      </c>
      <c r="C307" s="19">
        <v>-2.3043388456406961</v>
      </c>
      <c r="D307" s="19">
        <v>-1.4788383028064462</v>
      </c>
      <c r="E307" s="19">
        <v>-0.66855482191680204</v>
      </c>
      <c r="F307" s="19">
        <v>-2.8853157448965445E-3</v>
      </c>
      <c r="G307" s="19">
        <v>-0.59404057493598583</v>
      </c>
    </row>
    <row r="308" spans="2:7" x14ac:dyDescent="0.3">
      <c r="B308" s="32" t="s">
        <v>245</v>
      </c>
      <c r="C308" s="19">
        <v>-2.2391344693294459</v>
      </c>
      <c r="D308" s="19">
        <v>-1.5432219129707982</v>
      </c>
      <c r="E308" s="19">
        <v>-0.88559990068400274</v>
      </c>
      <c r="F308" s="19">
        <v>0.12427048745828663</v>
      </c>
      <c r="G308" s="19">
        <v>-0.84843794990527277</v>
      </c>
    </row>
    <row r="309" spans="2:7" x14ac:dyDescent="0.3">
      <c r="B309" s="32" t="s">
        <v>248</v>
      </c>
      <c r="C309" s="19">
        <v>-2.0306672901917668</v>
      </c>
      <c r="D309" s="19">
        <v>-1.7366382696066451</v>
      </c>
      <c r="E309" s="19">
        <v>-0.71660820775823719</v>
      </c>
      <c r="F309" s="19">
        <v>-4.4094159028251187E-2</v>
      </c>
      <c r="G309" s="19">
        <v>-0.81610125615795237</v>
      </c>
    </row>
    <row r="310" spans="2:7" x14ac:dyDescent="0.3">
      <c r="B310" s="32" t="s">
        <v>251</v>
      </c>
      <c r="C310" s="19">
        <v>-2.3648240272683645</v>
      </c>
      <c r="D310" s="19">
        <v>-1.443937378960005</v>
      </c>
      <c r="E310" s="19">
        <v>-0.86313366199545205</v>
      </c>
      <c r="F310" s="19">
        <v>4.9772154757979116E-2</v>
      </c>
      <c r="G310" s="19">
        <v>-0.59772101068550021</v>
      </c>
    </row>
    <row r="311" spans="2:7" x14ac:dyDescent="0.3">
      <c r="B311" s="32" t="s">
        <v>254</v>
      </c>
      <c r="C311" s="19">
        <v>-2.240868276307542</v>
      </c>
      <c r="D311" s="19">
        <v>-1.5850501713678784</v>
      </c>
      <c r="E311" s="19">
        <v>-0.90629501615016661</v>
      </c>
      <c r="F311" s="19">
        <v>0.13399563724144634</v>
      </c>
      <c r="G311" s="19">
        <v>-0.83686995534537056</v>
      </c>
    </row>
    <row r="312" spans="2:7" x14ac:dyDescent="0.3">
      <c r="B312" s="32" t="s">
        <v>257</v>
      </c>
      <c r="C312" s="19">
        <v>-2.0457746177404359</v>
      </c>
      <c r="D312" s="19">
        <v>-1.6052629227800119</v>
      </c>
      <c r="E312" s="19">
        <v>-0.88025434453847273</v>
      </c>
      <c r="F312" s="19">
        <v>0.11664105998821159</v>
      </c>
      <c r="G312" s="19">
        <v>-0.89152494537768157</v>
      </c>
    </row>
    <row r="313" spans="2:7" x14ac:dyDescent="0.3">
      <c r="B313" s="32" t="s">
        <v>260</v>
      </c>
      <c r="C313" s="19">
        <v>-2.285625260414323</v>
      </c>
      <c r="D313" s="19">
        <v>-1.551532218919498</v>
      </c>
      <c r="E313" s="19">
        <v>-0.8440038463323003</v>
      </c>
      <c r="F313" s="19">
        <v>0.11920812398583173</v>
      </c>
      <c r="G313" s="19">
        <v>-0.6180728075882912</v>
      </c>
    </row>
    <row r="314" spans="2:7" x14ac:dyDescent="0.3">
      <c r="B314" s="32" t="s">
        <v>263</v>
      </c>
      <c r="C314" s="19">
        <v>-2.1674411979782686</v>
      </c>
      <c r="D314" s="19">
        <v>-1.6816479834880498</v>
      </c>
      <c r="E314" s="19">
        <v>-0.74382335002102695</v>
      </c>
      <c r="F314" s="19">
        <v>5.4200506710143766E-2</v>
      </c>
      <c r="G314" s="19">
        <v>-0.84156507859733054</v>
      </c>
    </row>
    <row r="315" spans="2:7" x14ac:dyDescent="0.3">
      <c r="B315" s="32" t="s">
        <v>266</v>
      </c>
      <c r="C315" s="19">
        <v>-2.0581921786409358</v>
      </c>
      <c r="D315" s="19">
        <v>-1.6359987031805903</v>
      </c>
      <c r="E315" s="19">
        <v>-0.91028898823318072</v>
      </c>
      <c r="F315" s="19">
        <v>0.12379325282526893</v>
      </c>
      <c r="G315" s="19">
        <v>-0.86099138106405249</v>
      </c>
    </row>
    <row r="316" spans="2:7" x14ac:dyDescent="0.3">
      <c r="B316" s="32" t="s">
        <v>269</v>
      </c>
      <c r="C316" s="19">
        <v>-2.4258296736597411</v>
      </c>
      <c r="D316" s="19">
        <v>-1.6886088409921511</v>
      </c>
      <c r="E316" s="19">
        <v>-0.751933536128088</v>
      </c>
      <c r="F316" s="19">
        <v>-4.428173752871644E-2</v>
      </c>
      <c r="G316" s="19">
        <v>-0.76107347231568934</v>
      </c>
    </row>
    <row r="317" spans="2:7" x14ac:dyDescent="0.3">
      <c r="B317" s="32" t="s">
        <v>272</v>
      </c>
      <c r="C317" s="19">
        <v>-2.5730648906427751</v>
      </c>
      <c r="D317" s="19">
        <v>-1.423424419063537</v>
      </c>
      <c r="E317" s="19">
        <v>-0.68380652344379966</v>
      </c>
      <c r="F317" s="19">
        <v>-5.0588100457514787E-2</v>
      </c>
      <c r="G317" s="19">
        <v>-0.72375275926837646</v>
      </c>
    </row>
    <row r="318" spans="2:7" x14ac:dyDescent="0.3">
      <c r="B318" s="32" t="s">
        <v>275</v>
      </c>
      <c r="C318" s="19">
        <v>7.914107185464629</v>
      </c>
      <c r="D318" s="19">
        <v>-1.4131731430312768</v>
      </c>
      <c r="E318" s="19">
        <v>3.1141698124898562</v>
      </c>
      <c r="F318" s="19">
        <v>-0.78471814095632553</v>
      </c>
      <c r="G318" s="19">
        <v>-2.0696243464704431</v>
      </c>
    </row>
    <row r="319" spans="2:7" x14ac:dyDescent="0.3">
      <c r="B319" s="32" t="s">
        <v>278</v>
      </c>
      <c r="C319" s="19">
        <v>10.635532765419544</v>
      </c>
      <c r="D319" s="19">
        <v>-3.5514998933341859</v>
      </c>
      <c r="E319" s="19">
        <v>1.7659645726105182</v>
      </c>
      <c r="F319" s="19">
        <v>-1.609654907356517</v>
      </c>
      <c r="G319" s="19">
        <v>-2.2207015501119485</v>
      </c>
    </row>
    <row r="320" spans="2:7" x14ac:dyDescent="0.3">
      <c r="B320" s="32" t="s">
        <v>281</v>
      </c>
      <c r="C320" s="19">
        <v>11.069285199887933</v>
      </c>
      <c r="D320" s="19">
        <v>-1.8044447091168139</v>
      </c>
      <c r="E320" s="19">
        <v>2.2903524894084031</v>
      </c>
      <c r="F320" s="19">
        <v>-0.69924001152077075</v>
      </c>
      <c r="G320" s="19">
        <v>-2.9367427787414706</v>
      </c>
    </row>
    <row r="321" spans="2:7" x14ac:dyDescent="0.3">
      <c r="B321" s="32" t="s">
        <v>284</v>
      </c>
      <c r="C321" s="19">
        <v>7.7336959006770796</v>
      </c>
      <c r="D321" s="19">
        <v>-2.0939061850961931</v>
      </c>
      <c r="E321" s="19">
        <v>-0.2460957741495709</v>
      </c>
      <c r="F321" s="19">
        <v>-1.7567866604562203</v>
      </c>
      <c r="G321" s="19">
        <v>-2.5122211299714823</v>
      </c>
    </row>
    <row r="322" spans="2:7" x14ac:dyDescent="0.3">
      <c r="B322" s="32" t="s">
        <v>287</v>
      </c>
      <c r="C322" s="19">
        <v>9.9952971732000435</v>
      </c>
      <c r="D322" s="19">
        <v>-3.2904780610190589</v>
      </c>
      <c r="E322" s="19">
        <v>2.1185308734752044</v>
      </c>
      <c r="F322" s="19">
        <v>-0.79465619293280421</v>
      </c>
      <c r="G322" s="19">
        <v>-1.5410620927508671</v>
      </c>
    </row>
    <row r="323" spans="2:7" x14ac:dyDescent="0.3">
      <c r="B323" s="32" t="s">
        <v>290</v>
      </c>
      <c r="C323" s="19">
        <v>0.90196589734951338</v>
      </c>
      <c r="D323" s="19">
        <v>-2.1028173751790296</v>
      </c>
      <c r="E323" s="19">
        <v>2.8513528238270061</v>
      </c>
      <c r="F323" s="19">
        <v>-2.0450776112916724</v>
      </c>
      <c r="G323" s="19">
        <v>-1.0532740356313477</v>
      </c>
    </row>
    <row r="324" spans="2:7" x14ac:dyDescent="0.3">
      <c r="B324" s="32" t="s">
        <v>293</v>
      </c>
      <c r="C324" s="19">
        <v>-1.1608989891600654</v>
      </c>
      <c r="D324" s="19">
        <v>-1.3314989732711657</v>
      </c>
      <c r="E324" s="19">
        <v>-8.6765709254857534E-2</v>
      </c>
      <c r="F324" s="19">
        <v>-0.2342915124988052</v>
      </c>
      <c r="G324" s="19">
        <v>-0.73678017151889041</v>
      </c>
    </row>
    <row r="325" spans="2:7" x14ac:dyDescent="0.3">
      <c r="B325" s="32" t="s">
        <v>296</v>
      </c>
      <c r="C325" s="19">
        <v>-1.0045475316315069</v>
      </c>
      <c r="D325" s="19">
        <v>-1.4482076001164463</v>
      </c>
      <c r="E325" s="19">
        <v>-0.41482892190575155</v>
      </c>
      <c r="F325" s="19">
        <v>-0.40652482896467457</v>
      </c>
      <c r="G325" s="19">
        <v>-0.44181281449755988</v>
      </c>
    </row>
    <row r="326" spans="2:7" x14ac:dyDescent="0.3">
      <c r="B326" s="32" t="s">
        <v>299</v>
      </c>
      <c r="C326" s="19">
        <v>-2.1848430636163205</v>
      </c>
      <c r="D326" s="19">
        <v>-2.3983312404686314</v>
      </c>
      <c r="E326" s="19">
        <v>0.7224921331426547</v>
      </c>
      <c r="F326" s="19">
        <v>-0.9339710281222714</v>
      </c>
      <c r="G326" s="19">
        <v>2.3812168014114112</v>
      </c>
    </row>
    <row r="327" spans="2:7" x14ac:dyDescent="0.3">
      <c r="B327" s="32" t="s">
        <v>302</v>
      </c>
      <c r="C327" s="19">
        <v>-2.1732171510750566</v>
      </c>
      <c r="D327" s="19">
        <v>-2.2307544084699158</v>
      </c>
      <c r="E327" s="19">
        <v>0.52321379006809543</v>
      </c>
      <c r="F327" s="19">
        <v>-0.62600332841746009</v>
      </c>
      <c r="G327" s="19">
        <v>2.2925832166018103</v>
      </c>
    </row>
    <row r="328" spans="2:7" x14ac:dyDescent="0.3">
      <c r="B328" s="32" t="s">
        <v>305</v>
      </c>
      <c r="C328" s="19">
        <v>-2.0200990623186605</v>
      </c>
      <c r="D328" s="19">
        <v>-2.211623635530914</v>
      </c>
      <c r="E328" s="19">
        <v>0.65876431402041091</v>
      </c>
      <c r="F328" s="19">
        <v>-0.86816418609994206</v>
      </c>
      <c r="G328" s="19">
        <v>1.8397041576485411</v>
      </c>
    </row>
    <row r="329" spans="2:7" x14ac:dyDescent="0.3">
      <c r="B329" s="32" t="s">
        <v>308</v>
      </c>
      <c r="C329" s="19">
        <v>-1.8179347276139031</v>
      </c>
      <c r="D329" s="19">
        <v>-2.4675485962730557</v>
      </c>
      <c r="E329" s="19">
        <v>4.8948738399909611E-2</v>
      </c>
      <c r="F329" s="19">
        <v>-0.3777132456958025</v>
      </c>
      <c r="G329" s="19">
        <v>2.6771049436647809</v>
      </c>
    </row>
    <row r="330" spans="2:7" x14ac:dyDescent="0.3">
      <c r="B330" s="32" t="s">
        <v>311</v>
      </c>
      <c r="C330" s="19">
        <v>-2.2309022290824885</v>
      </c>
      <c r="D330" s="19">
        <v>-1.7102928070770587</v>
      </c>
      <c r="E330" s="19">
        <v>-0.28026801647750332</v>
      </c>
      <c r="F330" s="19">
        <v>0.43335614699224678</v>
      </c>
      <c r="G330" s="19">
        <v>-0.30053219476971127</v>
      </c>
    </row>
    <row r="331" spans="2:7" x14ac:dyDescent="0.3">
      <c r="B331" s="32" t="s">
        <v>314</v>
      </c>
      <c r="C331" s="19">
        <v>-2.4873901641340188</v>
      </c>
      <c r="D331" s="19">
        <v>-2.1746400160910189</v>
      </c>
      <c r="E331" s="19">
        <v>0.33444213354727459</v>
      </c>
      <c r="F331" s="19">
        <v>-0.14304837198846521</v>
      </c>
      <c r="G331" s="19">
        <v>-1.1180605723702752</v>
      </c>
    </row>
    <row r="332" spans="2:7" x14ac:dyDescent="0.3">
      <c r="B332" s="32" t="s">
        <v>317</v>
      </c>
      <c r="C332" s="19">
        <v>-1.8251221594038327</v>
      </c>
      <c r="D332" s="19">
        <v>-1.6825742794333158</v>
      </c>
      <c r="E332" s="19">
        <v>-0.30083062973577029</v>
      </c>
      <c r="F332" s="19">
        <v>0.17973579244481086</v>
      </c>
      <c r="G332" s="19">
        <v>-0.59685603843701818</v>
      </c>
    </row>
    <row r="333" spans="2:7" x14ac:dyDescent="0.3">
      <c r="B333" s="32" t="s">
        <v>320</v>
      </c>
      <c r="C333" s="19">
        <v>-1.0198683936810176</v>
      </c>
      <c r="D333" s="19">
        <v>-2.0116273744640742</v>
      </c>
      <c r="E333" s="19">
        <v>-0.21448175765820471</v>
      </c>
      <c r="F333" s="19">
        <v>0.24172214398574238</v>
      </c>
      <c r="G333" s="19">
        <v>-1.0639673537029646</v>
      </c>
    </row>
    <row r="334" spans="2:7" ht="15" thickBot="1" x14ac:dyDescent="0.35">
      <c r="B334" s="42" t="s">
        <v>323</v>
      </c>
      <c r="C334" s="20">
        <v>-1.6950929685149521</v>
      </c>
      <c r="D334" s="20">
        <v>-2.0886316387618087</v>
      </c>
      <c r="E334" s="20">
        <v>0.85995303220323782</v>
      </c>
      <c r="F334" s="20">
        <v>-0.86637651997274179</v>
      </c>
      <c r="G334" s="20">
        <v>1.2648117319699634</v>
      </c>
    </row>
    <row r="357" spans="7:7" x14ac:dyDescent="0.3">
      <c r="G357" t="s">
        <v>372</v>
      </c>
    </row>
    <row r="377" spans="2:7" x14ac:dyDescent="0.3">
      <c r="G377" t="s">
        <v>372</v>
      </c>
    </row>
    <row r="380" spans="2:7" x14ac:dyDescent="0.3">
      <c r="B380" s="31" t="s">
        <v>380</v>
      </c>
    </row>
    <row r="381" spans="2:7" ht="15" thickBot="1" x14ac:dyDescent="0.35"/>
    <row r="382" spans="2:7" x14ac:dyDescent="0.3">
      <c r="B382" s="34"/>
      <c r="C382" s="35" t="s">
        <v>346</v>
      </c>
      <c r="D382" s="35" t="s">
        <v>347</v>
      </c>
      <c r="E382" s="35" t="s">
        <v>348</v>
      </c>
      <c r="F382" s="35" t="s">
        <v>349</v>
      </c>
      <c r="G382" s="35" t="s">
        <v>350</v>
      </c>
    </row>
    <row r="383" spans="2:7" x14ac:dyDescent="0.3">
      <c r="B383" s="41" t="s">
        <v>29</v>
      </c>
      <c r="C383" s="18">
        <v>0.83238480866159015</v>
      </c>
      <c r="D383" s="18">
        <v>6.9513106176934114</v>
      </c>
      <c r="E383" s="18">
        <v>5.4256128554494474</v>
      </c>
      <c r="F383" s="18">
        <v>3.6740011355629205</v>
      </c>
      <c r="G383" s="18">
        <v>2.3239410449558475</v>
      </c>
    </row>
    <row r="384" spans="2:7" x14ac:dyDescent="0.3">
      <c r="B384" s="32" t="s">
        <v>32</v>
      </c>
      <c r="C384" s="19">
        <v>0.77296717562906281</v>
      </c>
      <c r="D384" s="19">
        <v>7.0837012033893858</v>
      </c>
      <c r="E384" s="19">
        <v>5.5836961598468449</v>
      </c>
      <c r="F384" s="19">
        <v>3.4602141206465897</v>
      </c>
      <c r="G384" s="19">
        <v>1.4674700346184009</v>
      </c>
    </row>
    <row r="385" spans="2:7" x14ac:dyDescent="0.3">
      <c r="B385" s="32" t="s">
        <v>35</v>
      </c>
      <c r="C385" s="19">
        <v>0.9145759940162097</v>
      </c>
      <c r="D385" s="19">
        <v>11.429038078664522</v>
      </c>
      <c r="E385" s="19">
        <v>9.258004296817651</v>
      </c>
      <c r="F385" s="19">
        <v>5.515807837336971</v>
      </c>
      <c r="G385" s="19">
        <v>3.0543372233470945</v>
      </c>
    </row>
    <row r="386" spans="2:7" x14ac:dyDescent="0.3">
      <c r="B386" s="32" t="s">
        <v>38</v>
      </c>
      <c r="C386" s="19">
        <v>0.32634063143729131</v>
      </c>
      <c r="D386" s="19">
        <v>0.29607666999208132</v>
      </c>
      <c r="E386" s="19">
        <v>0.31022145678564239</v>
      </c>
      <c r="F386" s="19">
        <v>0.59315972971842512</v>
      </c>
      <c r="G386" s="19">
        <v>3.0218702916136778E-2</v>
      </c>
    </row>
    <row r="387" spans="2:7" x14ac:dyDescent="0.3">
      <c r="B387" s="32" t="s">
        <v>41</v>
      </c>
      <c r="C387" s="19">
        <v>0.16774768090812378</v>
      </c>
      <c r="D387" s="19">
        <v>1.093816223444517</v>
      </c>
      <c r="E387" s="19">
        <v>0.33532899636561075</v>
      </c>
      <c r="F387" s="19">
        <v>1.5472970606150903E-2</v>
      </c>
      <c r="G387" s="19">
        <v>2.6385873539839087E-2</v>
      </c>
    </row>
    <row r="388" spans="2:7" x14ac:dyDescent="0.3">
      <c r="B388" s="32" t="s">
        <v>44</v>
      </c>
      <c r="C388" s="19">
        <v>0.43141458430415081</v>
      </c>
      <c r="D388" s="19">
        <v>0.2025956879730311</v>
      </c>
      <c r="E388" s="19">
        <v>0.18867794567710733</v>
      </c>
      <c r="F388" s="19">
        <v>2.9297009015939932E-2</v>
      </c>
      <c r="G388" s="19">
        <v>2.6629913856354891E-2</v>
      </c>
    </row>
    <row r="389" spans="2:7" x14ac:dyDescent="0.3">
      <c r="B389" s="32" t="s">
        <v>47</v>
      </c>
      <c r="C389" s="19">
        <v>0.41292450196649211</v>
      </c>
      <c r="D389" s="19">
        <v>0.21434629815471165</v>
      </c>
      <c r="E389" s="19">
        <v>0.27701234860104756</v>
      </c>
      <c r="F389" s="19">
        <v>0.11899716940924572</v>
      </c>
      <c r="G389" s="19">
        <v>2.0425231026101932E-2</v>
      </c>
    </row>
    <row r="390" spans="2:7" x14ac:dyDescent="0.3">
      <c r="B390" s="32" t="s">
        <v>50</v>
      </c>
      <c r="C390" s="19">
        <v>0.20471631562136444</v>
      </c>
      <c r="D390" s="19">
        <v>1.0283285258091142</v>
      </c>
      <c r="E390" s="19">
        <v>0.47983708657204999</v>
      </c>
      <c r="F390" s="19">
        <v>0.15386050860107955</v>
      </c>
      <c r="G390" s="19">
        <v>0.48196938597406336</v>
      </c>
    </row>
    <row r="391" spans="2:7" x14ac:dyDescent="0.3">
      <c r="B391" s="32" t="s">
        <v>53</v>
      </c>
      <c r="C391" s="19">
        <v>0.34590942455150803</v>
      </c>
      <c r="D391" s="19">
        <v>1.6625220724175696</v>
      </c>
      <c r="E391" s="19">
        <v>9.6499580879242791E-2</v>
      </c>
      <c r="F391" s="19">
        <v>1.7717603083186866E-2</v>
      </c>
      <c r="G391" s="19">
        <v>4.3216519340621248E-2</v>
      </c>
    </row>
    <row r="392" spans="2:7" x14ac:dyDescent="0.3">
      <c r="B392" s="32" t="s">
        <v>56</v>
      </c>
      <c r="C392" s="19">
        <v>0.1221180680709911</v>
      </c>
      <c r="D392" s="19">
        <v>0.61734283783431132</v>
      </c>
      <c r="E392" s="19">
        <v>0.36885558368435734</v>
      </c>
      <c r="F392" s="19">
        <v>3.1343683880284499E-3</v>
      </c>
      <c r="G392" s="19">
        <v>1.8293825075005172E-2</v>
      </c>
    </row>
    <row r="393" spans="2:7" x14ac:dyDescent="0.3">
      <c r="B393" s="32" t="s">
        <v>59</v>
      </c>
      <c r="C393" s="19">
        <v>0.25388750554999057</v>
      </c>
      <c r="D393" s="19">
        <v>1.4222625222518892</v>
      </c>
      <c r="E393" s="19">
        <v>0.33783875502071281</v>
      </c>
      <c r="F393" s="19">
        <v>8.501123362633492E-2</v>
      </c>
      <c r="G393" s="19">
        <v>0.6338997894056051</v>
      </c>
    </row>
    <row r="394" spans="2:7" x14ac:dyDescent="0.3">
      <c r="B394" s="32" t="s">
        <v>62</v>
      </c>
      <c r="C394" s="19">
        <v>0.3440015297280592</v>
      </c>
      <c r="D394" s="19">
        <v>0.25011184546829063</v>
      </c>
      <c r="E394" s="19">
        <v>0.45291572478326342</v>
      </c>
      <c r="F394" s="19">
        <v>5.622867439912786E-3</v>
      </c>
      <c r="G394" s="19">
        <v>7.7058050092545613E-2</v>
      </c>
    </row>
    <row r="395" spans="2:7" x14ac:dyDescent="0.3">
      <c r="B395" s="32" t="s">
        <v>65</v>
      </c>
      <c r="C395" s="19">
        <v>0.31153918693316562</v>
      </c>
      <c r="D395" s="19">
        <v>0.58035469220014335</v>
      </c>
      <c r="E395" s="19">
        <v>0.25443311731194884</v>
      </c>
      <c r="F395" s="19">
        <v>6.4912338207627056E-5</v>
      </c>
      <c r="G395" s="19">
        <v>4.5567344419283791E-3</v>
      </c>
    </row>
    <row r="396" spans="2:7" x14ac:dyDescent="0.3">
      <c r="B396" s="32" t="s">
        <v>68</v>
      </c>
      <c r="C396" s="19">
        <v>0.32626988343981539</v>
      </c>
      <c r="D396" s="19">
        <v>0.40438382688786223</v>
      </c>
      <c r="E396" s="19">
        <v>0.38794645661265592</v>
      </c>
      <c r="F396" s="19">
        <v>6.2098050470944008E-2</v>
      </c>
      <c r="G396" s="19">
        <v>7.2080493379094029E-3</v>
      </c>
    </row>
    <row r="397" spans="2:7" x14ac:dyDescent="0.3">
      <c r="B397" s="32" t="s">
        <v>71</v>
      </c>
      <c r="C397" s="19">
        <v>0.26600510842729658</v>
      </c>
      <c r="D397" s="19">
        <v>0.25785689745456075</v>
      </c>
      <c r="E397" s="19">
        <v>0.34201861891314378</v>
      </c>
      <c r="F397" s="19">
        <v>2.9289368322928137E-3</v>
      </c>
      <c r="G397" s="19">
        <v>2.6979546873503956E-3</v>
      </c>
    </row>
    <row r="398" spans="2:7" x14ac:dyDescent="0.3">
      <c r="B398" s="32" t="s">
        <v>74</v>
      </c>
      <c r="C398" s="19">
        <v>0.32631657678616488</v>
      </c>
      <c r="D398" s="19">
        <v>0.36655283249412007</v>
      </c>
      <c r="E398" s="19">
        <v>0.6420168051070182</v>
      </c>
      <c r="F398" s="19">
        <v>6.1033375397488339E-5</v>
      </c>
      <c r="G398" s="19">
        <v>2.3976911126576152E-2</v>
      </c>
    </row>
    <row r="399" spans="2:7" x14ac:dyDescent="0.3">
      <c r="B399" s="32" t="s">
        <v>77</v>
      </c>
      <c r="C399" s="19">
        <v>0.3382404208920976</v>
      </c>
      <c r="D399" s="19">
        <v>0.43489501219025434</v>
      </c>
      <c r="E399" s="19">
        <v>0.10708164716310969</v>
      </c>
      <c r="F399" s="19">
        <v>0.14611927083754306</v>
      </c>
      <c r="G399" s="19">
        <v>4.8348906693831531E-2</v>
      </c>
    </row>
    <row r="400" spans="2:7" x14ac:dyDescent="0.3">
      <c r="B400" s="32" t="s">
        <v>80</v>
      </c>
      <c r="C400" s="19">
        <v>0.38057200950457853</v>
      </c>
      <c r="D400" s="19">
        <v>0.96309437496179218</v>
      </c>
      <c r="E400" s="19">
        <v>0.57034557137972186</v>
      </c>
      <c r="F400" s="19">
        <v>2.1009476750764939E-2</v>
      </c>
      <c r="G400" s="19">
        <v>0.13103118991348864</v>
      </c>
    </row>
    <row r="401" spans="2:7" x14ac:dyDescent="0.3">
      <c r="B401" s="32" t="s">
        <v>83</v>
      </c>
      <c r="C401" s="19">
        <v>1.110173420918922</v>
      </c>
      <c r="D401" s="19">
        <v>1.6488844814559825E-2</v>
      </c>
      <c r="E401" s="19">
        <v>0.14209440821833416</v>
      </c>
      <c r="F401" s="19">
        <v>0.53883114098129592</v>
      </c>
      <c r="G401" s="19">
        <v>0.19995123888580432</v>
      </c>
    </row>
    <row r="402" spans="2:7" x14ac:dyDescent="0.3">
      <c r="B402" s="32" t="s">
        <v>86</v>
      </c>
      <c r="C402" s="19">
        <v>8.2640234424100206E-2</v>
      </c>
      <c r="D402" s="19">
        <v>1.0246387991721251</v>
      </c>
      <c r="E402" s="19">
        <v>0.30127745467449024</v>
      </c>
      <c r="F402" s="19">
        <v>1.6957387107156541E-2</v>
      </c>
      <c r="G402" s="19">
        <v>3.0105990856286576E-2</v>
      </c>
    </row>
    <row r="403" spans="2:7" x14ac:dyDescent="0.3">
      <c r="B403" s="32" t="s">
        <v>89</v>
      </c>
      <c r="C403" s="19">
        <v>2.1377530328375971</v>
      </c>
      <c r="D403" s="19">
        <v>0.17628660934882345</v>
      </c>
      <c r="E403" s="19">
        <v>1.4620659872811566</v>
      </c>
      <c r="F403" s="19">
        <v>0.54706596350571124</v>
      </c>
      <c r="G403" s="19">
        <v>2.4282635758593315E-5</v>
      </c>
    </row>
    <row r="404" spans="2:7" x14ac:dyDescent="0.3">
      <c r="B404" s="32" t="s">
        <v>92</v>
      </c>
      <c r="C404" s="19">
        <v>0.32733242971861276</v>
      </c>
      <c r="D404" s="19">
        <v>0.67414605301623109</v>
      </c>
      <c r="E404" s="19">
        <v>0.60047511312831403</v>
      </c>
      <c r="F404" s="19">
        <v>9.0759805592312316E-3</v>
      </c>
      <c r="G404" s="19">
        <v>2.5858152360409843E-2</v>
      </c>
    </row>
    <row r="405" spans="2:7" x14ac:dyDescent="0.3">
      <c r="B405" s="32" t="s">
        <v>95</v>
      </c>
      <c r="C405" s="19">
        <v>0.51821256863885667</v>
      </c>
      <c r="D405" s="19">
        <v>1.3193784754186766</v>
      </c>
      <c r="E405" s="19">
        <v>0.50571346549221674</v>
      </c>
      <c r="F405" s="19">
        <v>2.0111321012741962E-2</v>
      </c>
      <c r="G405" s="19">
        <v>4.0102360959240281E-2</v>
      </c>
    </row>
    <row r="406" spans="2:7" x14ac:dyDescent="0.3">
      <c r="B406" s="32" t="s">
        <v>98</v>
      </c>
      <c r="C406" s="19">
        <v>0.24263497216160451</v>
      </c>
      <c r="D406" s="19">
        <v>0.49415596468931394</v>
      </c>
      <c r="E406" s="19">
        <v>0.12971081652409991</v>
      </c>
      <c r="F406" s="19">
        <v>1.9425016496999448E-2</v>
      </c>
      <c r="G406" s="19">
        <v>0.37736799440229152</v>
      </c>
    </row>
    <row r="407" spans="2:7" x14ac:dyDescent="0.3">
      <c r="B407" s="32" t="s">
        <v>101</v>
      </c>
      <c r="C407" s="19">
        <v>0.2372564760107248</v>
      </c>
      <c r="D407" s="19">
        <v>1.1706071899928034</v>
      </c>
      <c r="E407" s="19">
        <v>0.53441885769356245</v>
      </c>
      <c r="F407" s="19">
        <v>0.12924659316083603</v>
      </c>
      <c r="G407" s="19">
        <v>0.56202659828455814</v>
      </c>
    </row>
    <row r="408" spans="2:7" x14ac:dyDescent="0.3">
      <c r="B408" s="32" t="s">
        <v>104</v>
      </c>
      <c r="C408" s="19">
        <v>0.10048624372873355</v>
      </c>
      <c r="D408" s="19">
        <v>0.52761879271182222</v>
      </c>
      <c r="E408" s="19">
        <v>0.49384751707274249</v>
      </c>
      <c r="F408" s="19">
        <v>0.22692373926710471</v>
      </c>
      <c r="G408" s="19">
        <v>0.1829860907385045</v>
      </c>
    </row>
    <row r="409" spans="2:7" x14ac:dyDescent="0.3">
      <c r="B409" s="32" t="s">
        <v>107</v>
      </c>
      <c r="C409" s="19">
        <v>1.6849857075833023E-2</v>
      </c>
      <c r="D409" s="19">
        <v>0.47542183242240266</v>
      </c>
      <c r="E409" s="19">
        <v>0.43997812657575303</v>
      </c>
      <c r="F409" s="19">
        <v>1.8062698106510942E-4</v>
      </c>
      <c r="G409" s="19">
        <v>8.4223613910333357E-3</v>
      </c>
    </row>
    <row r="410" spans="2:7" x14ac:dyDescent="0.3">
      <c r="B410" s="32" t="s">
        <v>110</v>
      </c>
      <c r="C410" s="19">
        <v>6.2511776333854602E-2</v>
      </c>
      <c r="D410" s="19">
        <v>0.20468425422889575</v>
      </c>
      <c r="E410" s="19">
        <v>0.93469998007145683</v>
      </c>
      <c r="F410" s="19">
        <v>3.7804775741998309E-2</v>
      </c>
      <c r="G410" s="19">
        <v>7.1535548761112608E-2</v>
      </c>
    </row>
    <row r="411" spans="2:7" x14ac:dyDescent="0.3">
      <c r="B411" s="32" t="s">
        <v>113</v>
      </c>
      <c r="C411" s="19">
        <v>0.66516238311870202</v>
      </c>
      <c r="D411" s="19">
        <v>0.63645143684367955</v>
      </c>
      <c r="E411" s="19">
        <v>0.3818648720339502</v>
      </c>
      <c r="F411" s="19">
        <v>3.8873960068079937E-2</v>
      </c>
      <c r="G411" s="19">
        <v>6.6703591273570784E-2</v>
      </c>
    </row>
    <row r="412" spans="2:7" x14ac:dyDescent="0.3">
      <c r="B412" s="32" t="s">
        <v>116</v>
      </c>
      <c r="C412" s="19">
        <v>0.1706754518310295</v>
      </c>
      <c r="D412" s="19">
        <v>1.1543750286410923</v>
      </c>
      <c r="E412" s="19">
        <v>0.39486976043475214</v>
      </c>
      <c r="F412" s="19">
        <v>2.0392997052551738E-3</v>
      </c>
      <c r="G412" s="19">
        <v>5.3704123118113713E-2</v>
      </c>
    </row>
    <row r="413" spans="2:7" x14ac:dyDescent="0.3">
      <c r="B413" s="32" t="s">
        <v>119</v>
      </c>
      <c r="C413" s="19">
        <v>0.31909728457985204</v>
      </c>
      <c r="D413" s="19">
        <v>4.9161954870625309E-2</v>
      </c>
      <c r="E413" s="19">
        <v>5.0438061534162273E-3</v>
      </c>
      <c r="F413" s="19">
        <v>0.23795911865690794</v>
      </c>
      <c r="G413" s="19">
        <v>0.13694329732735644</v>
      </c>
    </row>
    <row r="414" spans="2:7" x14ac:dyDescent="0.3">
      <c r="B414" s="32" t="s">
        <v>122</v>
      </c>
      <c r="C414" s="19">
        <v>0.92056790011220846</v>
      </c>
      <c r="D414" s="19">
        <v>1.8337848091682272</v>
      </c>
      <c r="E414" s="19">
        <v>9.4889899356315158E-2</v>
      </c>
      <c r="F414" s="19">
        <v>0.5671632572467683</v>
      </c>
      <c r="G414" s="19">
        <v>1.6903250004512886</v>
      </c>
    </row>
    <row r="415" spans="2:7" x14ac:dyDescent="0.3">
      <c r="B415" s="32" t="s">
        <v>125</v>
      </c>
      <c r="C415" s="19">
        <v>0.98597331873978411</v>
      </c>
      <c r="D415" s="19">
        <v>1.5266790182440022</v>
      </c>
      <c r="E415" s="19">
        <v>0.97385090112545281</v>
      </c>
      <c r="F415" s="19">
        <v>0.36669542386711096</v>
      </c>
      <c r="G415" s="19">
        <v>1.6611409116367626</v>
      </c>
    </row>
    <row r="416" spans="2:7" x14ac:dyDescent="0.3">
      <c r="B416" s="32" t="s">
        <v>128</v>
      </c>
      <c r="C416" s="19">
        <v>0.10922539765592884</v>
      </c>
      <c r="D416" s="19">
        <v>1.1194840868643428</v>
      </c>
      <c r="E416" s="19">
        <v>0.42949671432691044</v>
      </c>
      <c r="F416" s="19">
        <v>9.4606401780738709E-3</v>
      </c>
      <c r="G416" s="19">
        <v>1.9975512686771106E-2</v>
      </c>
    </row>
    <row r="417" spans="2:7" x14ac:dyDescent="0.3">
      <c r="B417" s="32" t="s">
        <v>131</v>
      </c>
      <c r="C417" s="19">
        <v>0.25759541325867785</v>
      </c>
      <c r="D417" s="19">
        <v>0.98820706799078639</v>
      </c>
      <c r="E417" s="19">
        <v>0.61720909023883885</v>
      </c>
      <c r="F417" s="19">
        <v>4.9483988622601963E-2</v>
      </c>
      <c r="G417" s="19">
        <v>0.25869089488803138</v>
      </c>
    </row>
    <row r="418" spans="2:7" x14ac:dyDescent="0.3">
      <c r="B418" s="32" t="s">
        <v>134</v>
      </c>
      <c r="C418" s="19">
        <v>0.13592925039308748</v>
      </c>
      <c r="D418" s="19">
        <v>6.0007291661547833E-3</v>
      </c>
      <c r="E418" s="19">
        <v>0.48572259828082776</v>
      </c>
      <c r="F418" s="19">
        <v>2.0271414623344423E-2</v>
      </c>
      <c r="G418" s="19">
        <v>2.2273914379880879E-2</v>
      </c>
    </row>
    <row r="419" spans="2:7" x14ac:dyDescent="0.3">
      <c r="B419" s="32" t="s">
        <v>137</v>
      </c>
      <c r="C419" s="19">
        <v>8.3519775991458239E-2</v>
      </c>
      <c r="D419" s="19">
        <v>5.122260588768439E-4</v>
      </c>
      <c r="E419" s="19">
        <v>0.63222734960775384</v>
      </c>
      <c r="F419" s="19">
        <v>9.2479496340070841E-2</v>
      </c>
      <c r="G419" s="19">
        <v>0.14672199622728599</v>
      </c>
    </row>
    <row r="420" spans="2:7" x14ac:dyDescent="0.3">
      <c r="B420" s="32" t="s">
        <v>140</v>
      </c>
      <c r="C420" s="19">
        <v>0.62111757066188233</v>
      </c>
      <c r="D420" s="19">
        <v>1.0351325045010209</v>
      </c>
      <c r="E420" s="19">
        <v>0.7340906731528013</v>
      </c>
      <c r="F420" s="19">
        <v>0.56687319577531492</v>
      </c>
      <c r="G420" s="19">
        <v>1.3395759926382966</v>
      </c>
    </row>
    <row r="421" spans="2:7" x14ac:dyDescent="0.3">
      <c r="B421" s="32" t="s">
        <v>143</v>
      </c>
      <c r="C421" s="19">
        <v>0.47487980008209751</v>
      </c>
      <c r="D421" s="19">
        <v>0.55703368322538394</v>
      </c>
      <c r="E421" s="19">
        <v>0.26597089642543714</v>
      </c>
      <c r="F421" s="19">
        <v>3.329213191593481E-2</v>
      </c>
      <c r="G421" s="19">
        <v>0.11894556593259709</v>
      </c>
    </row>
    <row r="422" spans="2:7" x14ac:dyDescent="0.3">
      <c r="B422" s="32" t="s">
        <v>146</v>
      </c>
      <c r="C422" s="19">
        <v>0.78088599470233377</v>
      </c>
      <c r="D422" s="19">
        <v>0.88509440715897914</v>
      </c>
      <c r="E422" s="19">
        <v>0.54786103118845542</v>
      </c>
      <c r="F422" s="19">
        <v>9.4299313034162443E-3</v>
      </c>
      <c r="G422" s="19">
        <v>4.1308486074163354E-3</v>
      </c>
    </row>
    <row r="423" spans="2:7" x14ac:dyDescent="0.3">
      <c r="B423" s="32" t="s">
        <v>149</v>
      </c>
      <c r="C423" s="19">
        <v>0.30144560474767762</v>
      </c>
      <c r="D423" s="19">
        <v>0.62609291150139046</v>
      </c>
      <c r="E423" s="19">
        <v>0.78633044028450716</v>
      </c>
      <c r="F423" s="19">
        <v>3.0803871319604573E-3</v>
      </c>
      <c r="G423" s="19">
        <v>1.8770715691400598E-5</v>
      </c>
    </row>
    <row r="424" spans="2:7" x14ac:dyDescent="0.3">
      <c r="B424" s="32" t="s">
        <v>152</v>
      </c>
      <c r="C424" s="19">
        <v>0.31994291594024532</v>
      </c>
      <c r="D424" s="19">
        <v>1.9664962157167072</v>
      </c>
      <c r="E424" s="19">
        <v>2.5999702402621477E-2</v>
      </c>
      <c r="F424" s="19">
        <v>0.12140042821076565</v>
      </c>
      <c r="G424" s="19">
        <v>0.89047475370553653</v>
      </c>
    </row>
    <row r="425" spans="2:7" x14ac:dyDescent="0.3">
      <c r="B425" s="32" t="s">
        <v>155</v>
      </c>
      <c r="C425" s="19">
        <v>0.21437104413289301</v>
      </c>
      <c r="D425" s="19">
        <v>0.73027223898517513</v>
      </c>
      <c r="E425" s="19">
        <v>0.1688786904768162</v>
      </c>
      <c r="F425" s="19">
        <v>0.14044121495073558</v>
      </c>
      <c r="G425" s="19">
        <v>3.8309683589559572E-2</v>
      </c>
    </row>
    <row r="426" spans="2:7" x14ac:dyDescent="0.3">
      <c r="B426" s="32" t="s">
        <v>158</v>
      </c>
      <c r="C426" s="19">
        <v>0.29804233432355526</v>
      </c>
      <c r="D426" s="19">
        <v>1.2355303310716117</v>
      </c>
      <c r="E426" s="19">
        <v>0.72832566389359699</v>
      </c>
      <c r="F426" s="19">
        <v>0.36138994284333747</v>
      </c>
      <c r="G426" s="19">
        <v>0.65181591029016817</v>
      </c>
    </row>
    <row r="427" spans="2:7" x14ac:dyDescent="0.3">
      <c r="B427" s="32" t="s">
        <v>161</v>
      </c>
      <c r="C427" s="19">
        <v>0.23122068919713992</v>
      </c>
      <c r="D427" s="19">
        <v>0.22172391438972847</v>
      </c>
      <c r="E427" s="19">
        <v>0.65690247799249324</v>
      </c>
      <c r="F427" s="19">
        <v>0.44238424385432162</v>
      </c>
      <c r="G427" s="19">
        <v>1.155397134620505</v>
      </c>
    </row>
    <row r="428" spans="2:7" x14ac:dyDescent="0.3">
      <c r="B428" s="32" t="s">
        <v>164</v>
      </c>
      <c r="C428" s="19">
        <v>0.13638415569078827</v>
      </c>
      <c r="D428" s="19">
        <v>0.47864075843887421</v>
      </c>
      <c r="E428" s="19">
        <v>9.7858720129717063E-3</v>
      </c>
      <c r="F428" s="19">
        <v>6.7674632734072334E-5</v>
      </c>
      <c r="G428" s="19">
        <v>5.0865502980702318E-2</v>
      </c>
    </row>
    <row r="429" spans="2:7" x14ac:dyDescent="0.3">
      <c r="B429" s="32" t="s">
        <v>167</v>
      </c>
      <c r="C429" s="19">
        <v>0.34832001387029027</v>
      </c>
      <c r="D429" s="19">
        <v>0.81681739165439815</v>
      </c>
      <c r="E429" s="19">
        <v>0.91376766375263596</v>
      </c>
      <c r="F429" s="19">
        <v>0.27240422577741058</v>
      </c>
      <c r="G429" s="19">
        <v>0.36005592443771306</v>
      </c>
    </row>
    <row r="430" spans="2:7" x14ac:dyDescent="0.3">
      <c r="B430" s="32" t="s">
        <v>170</v>
      </c>
      <c r="C430" s="19">
        <v>0.16197378891002021</v>
      </c>
      <c r="D430" s="19">
        <v>0.16259778936095215</v>
      </c>
      <c r="E430" s="19">
        <v>0.12064907595420891</v>
      </c>
      <c r="F430" s="19">
        <v>0.10255514163384864</v>
      </c>
      <c r="G430" s="19">
        <v>0.14973981027406696</v>
      </c>
    </row>
    <row r="431" spans="2:7" x14ac:dyDescent="0.3">
      <c r="B431" s="32" t="s">
        <v>173</v>
      </c>
      <c r="C431" s="19">
        <v>0.59389255586110656</v>
      </c>
      <c r="D431" s="19">
        <v>0.17358922621410786</v>
      </c>
      <c r="E431" s="19">
        <v>1.3956058000996984E-2</v>
      </c>
      <c r="F431" s="19">
        <v>5.0231299495158449E-2</v>
      </c>
      <c r="G431" s="19">
        <v>0.45070144141309437</v>
      </c>
    </row>
    <row r="432" spans="2:7" x14ac:dyDescent="0.3">
      <c r="B432" s="32" t="s">
        <v>176</v>
      </c>
      <c r="C432" s="19">
        <v>0.69463897363681981</v>
      </c>
      <c r="D432" s="19">
        <v>6.3617950667701909E-3</v>
      </c>
      <c r="E432" s="19">
        <v>3.8843913843096087E-2</v>
      </c>
      <c r="F432" s="19">
        <v>0.20339832468226079</v>
      </c>
      <c r="G432" s="19">
        <v>0.69305659958031463</v>
      </c>
    </row>
    <row r="433" spans="2:7" x14ac:dyDescent="0.3">
      <c r="B433" s="32" t="s">
        <v>179</v>
      </c>
      <c r="C433" s="19">
        <v>0.73608135788551698</v>
      </c>
      <c r="D433" s="19">
        <v>0.18826927102271174</v>
      </c>
      <c r="E433" s="19">
        <v>0.35528803096336814</v>
      </c>
      <c r="F433" s="19">
        <v>0.53614393175453434</v>
      </c>
      <c r="G433" s="19">
        <v>0.96162424742608021</v>
      </c>
    </row>
    <row r="434" spans="2:7" x14ac:dyDescent="0.3">
      <c r="B434" s="32" t="s">
        <v>182</v>
      </c>
      <c r="C434" s="19">
        <v>0.71194130796100463</v>
      </c>
      <c r="D434" s="19">
        <v>0.63154987427290155</v>
      </c>
      <c r="E434" s="19">
        <v>0.7508692434323917</v>
      </c>
      <c r="F434" s="19">
        <v>0.89055477552419626</v>
      </c>
      <c r="G434" s="19">
        <v>1.2958985365296063</v>
      </c>
    </row>
    <row r="435" spans="2:7" x14ac:dyDescent="0.3">
      <c r="B435" s="32" t="s">
        <v>185</v>
      </c>
      <c r="C435" s="19">
        <v>0.57635552591801864</v>
      </c>
      <c r="D435" s="19">
        <v>1.2671717855362993E-3</v>
      </c>
      <c r="E435" s="19">
        <v>0.27185122860685978</v>
      </c>
      <c r="F435" s="19">
        <v>0.16777536505336094</v>
      </c>
      <c r="G435" s="19">
        <v>0.44026003852628082</v>
      </c>
    </row>
    <row r="436" spans="2:7" x14ac:dyDescent="0.3">
      <c r="B436" s="32" t="s">
        <v>188</v>
      </c>
      <c r="C436" s="19">
        <v>0.57734511591458659</v>
      </c>
      <c r="D436" s="19">
        <v>0.12387583376685742</v>
      </c>
      <c r="E436" s="19">
        <v>3.6495592491554193E-2</v>
      </c>
      <c r="F436" s="19">
        <v>6.0939213964417011E-2</v>
      </c>
      <c r="G436" s="19">
        <v>0.49343008627263429</v>
      </c>
    </row>
    <row r="437" spans="2:7" x14ac:dyDescent="0.3">
      <c r="B437" s="32" t="s">
        <v>191</v>
      </c>
      <c r="C437" s="19">
        <v>0.46567177048640346</v>
      </c>
      <c r="D437" s="19">
        <v>7.7218772434654182E-3</v>
      </c>
      <c r="E437" s="19">
        <v>1.7632736257366988E-2</v>
      </c>
      <c r="F437" s="19">
        <v>0.13017672811376785</v>
      </c>
      <c r="G437" s="19">
        <v>0.28280198041598559</v>
      </c>
    </row>
    <row r="438" spans="2:7" x14ac:dyDescent="0.3">
      <c r="B438" s="32" t="s">
        <v>194</v>
      </c>
      <c r="C438" s="19">
        <v>0.35732551079420211</v>
      </c>
      <c r="D438" s="19">
        <v>0.49208513435394119</v>
      </c>
      <c r="E438" s="19">
        <v>2.5032773759394777E-2</v>
      </c>
      <c r="F438" s="19">
        <v>1.5840065930383972E-2</v>
      </c>
      <c r="G438" s="19">
        <v>0.23594829779830009</v>
      </c>
    </row>
    <row r="439" spans="2:7" x14ac:dyDescent="0.3">
      <c r="B439" s="32" t="s">
        <v>197</v>
      </c>
      <c r="C439" s="19">
        <v>0.62560862634814418</v>
      </c>
      <c r="D439" s="19">
        <v>1.1330768339048124E-2</v>
      </c>
      <c r="E439" s="19">
        <v>0.21092763058503827</v>
      </c>
      <c r="F439" s="19">
        <v>0.18926952983057324</v>
      </c>
      <c r="G439" s="19">
        <v>0.81150858785247615</v>
      </c>
    </row>
    <row r="440" spans="2:7" x14ac:dyDescent="0.3">
      <c r="B440" s="32" t="s">
        <v>200</v>
      </c>
      <c r="C440" s="19">
        <v>0.62594471917173289</v>
      </c>
      <c r="D440" s="19">
        <v>0.6260535833375227</v>
      </c>
      <c r="E440" s="19">
        <v>0.32384760961141323</v>
      </c>
      <c r="F440" s="19">
        <v>2.8203133157860666E-3</v>
      </c>
      <c r="G440" s="19">
        <v>0.2975271315360527</v>
      </c>
    </row>
    <row r="441" spans="2:7" x14ac:dyDescent="0.3">
      <c r="B441" s="32" t="s">
        <v>203</v>
      </c>
      <c r="C441" s="19">
        <v>0.61280544547602711</v>
      </c>
      <c r="D441" s="19">
        <v>0.61859986706323644</v>
      </c>
      <c r="E441" s="19">
        <v>0.16310431579675111</v>
      </c>
      <c r="F441" s="19">
        <v>6.9402364136539774E-4</v>
      </c>
      <c r="G441" s="19">
        <v>0.32300934930039576</v>
      </c>
    </row>
    <row r="442" spans="2:7" x14ac:dyDescent="0.3">
      <c r="B442" s="32" t="s">
        <v>206</v>
      </c>
      <c r="C442" s="19">
        <v>6.1413925098985596</v>
      </c>
      <c r="D442" s="19">
        <v>8.8204494339858854</v>
      </c>
      <c r="E442" s="19">
        <v>0.20610972734661101</v>
      </c>
      <c r="F442" s="19">
        <v>59.795161801375329</v>
      </c>
      <c r="G442" s="19">
        <v>14.947107133004575</v>
      </c>
    </row>
    <row r="443" spans="2:7" x14ac:dyDescent="0.3">
      <c r="B443" s="32" t="s">
        <v>209</v>
      </c>
      <c r="C443" s="19">
        <v>1.2277033775001409</v>
      </c>
      <c r="D443" s="19">
        <v>0.14296342707862056</v>
      </c>
      <c r="E443" s="19">
        <v>0.11472311167800679</v>
      </c>
      <c r="F443" s="19">
        <v>9.5881113914311924E-7</v>
      </c>
      <c r="G443" s="19">
        <v>0.30136567374432116</v>
      </c>
    </row>
    <row r="444" spans="2:7" x14ac:dyDescent="0.3">
      <c r="B444" s="32" t="s">
        <v>212</v>
      </c>
      <c r="C444" s="19">
        <v>1.1860560377903433</v>
      </c>
      <c r="D444" s="19">
        <v>0.34294602543829333</v>
      </c>
      <c r="E444" s="19">
        <v>8.2478442657974653E-4</v>
      </c>
      <c r="F444" s="19">
        <v>3.483760308702627E-2</v>
      </c>
      <c r="G444" s="19">
        <v>1.4848933495525549E-2</v>
      </c>
    </row>
    <row r="445" spans="2:7" x14ac:dyDescent="0.3">
      <c r="B445" s="32" t="s">
        <v>215</v>
      </c>
      <c r="C445" s="19">
        <v>1.282256283571756E-2</v>
      </c>
      <c r="D445" s="19">
        <v>4.512180808430603E-4</v>
      </c>
      <c r="E445" s="19">
        <v>14.996897762133191</v>
      </c>
      <c r="F445" s="19">
        <v>8.3909758460520383</v>
      </c>
      <c r="G445" s="19">
        <v>13.605048377378415</v>
      </c>
    </row>
    <row r="446" spans="2:7" x14ac:dyDescent="0.3">
      <c r="B446" s="32" t="s">
        <v>218</v>
      </c>
      <c r="C446" s="19">
        <v>0.34256358855371088</v>
      </c>
      <c r="D446" s="19">
        <v>6.6159386346203294E-3</v>
      </c>
      <c r="E446" s="19">
        <v>21.35403254631726</v>
      </c>
      <c r="F446" s="19">
        <v>1.9179073908795428</v>
      </c>
      <c r="G446" s="19">
        <v>4.6599336021220159</v>
      </c>
    </row>
    <row r="447" spans="2:7" x14ac:dyDescent="0.3">
      <c r="B447" s="32" t="s">
        <v>221</v>
      </c>
      <c r="C447" s="19">
        <v>0.50037353599785805</v>
      </c>
      <c r="D447" s="19">
        <v>0.268502654714251</v>
      </c>
      <c r="E447" s="19">
        <v>0.23219435667968591</v>
      </c>
      <c r="F447" s="19">
        <v>2.746335699646375E-2</v>
      </c>
      <c r="G447" s="19">
        <v>0.34239618715418368</v>
      </c>
    </row>
    <row r="448" spans="2:7" x14ac:dyDescent="0.3">
      <c r="B448" s="32" t="s">
        <v>224</v>
      </c>
      <c r="C448" s="19">
        <v>1.073114207749877</v>
      </c>
      <c r="D448" s="19">
        <v>3.2880964608776188E-2</v>
      </c>
      <c r="E448" s="19">
        <v>1.2623993521397463</v>
      </c>
      <c r="F448" s="19">
        <v>1.8388042227677374E-2</v>
      </c>
      <c r="G448" s="19">
        <v>7.251834987969462E-5</v>
      </c>
    </row>
    <row r="449" spans="2:7" x14ac:dyDescent="0.3">
      <c r="B449" s="32" t="s">
        <v>227</v>
      </c>
      <c r="C449" s="19">
        <v>0.88648429946107477</v>
      </c>
      <c r="D449" s="19">
        <v>1.3425100498719115E-2</v>
      </c>
      <c r="E449" s="19">
        <v>2.5925013566936048</v>
      </c>
      <c r="F449" s="19">
        <v>0.15584217782121501</v>
      </c>
      <c r="G449" s="19">
        <v>6.4367185834576013E-2</v>
      </c>
    </row>
    <row r="450" spans="2:7" x14ac:dyDescent="0.3">
      <c r="B450" s="32" t="s">
        <v>230</v>
      </c>
      <c r="C450" s="19">
        <v>0.77418770722423524</v>
      </c>
      <c r="D450" s="19">
        <v>8.7687939160660013E-4</v>
      </c>
      <c r="E450" s="19">
        <v>0.80109608729462845</v>
      </c>
      <c r="F450" s="19">
        <v>0.2202268603539824</v>
      </c>
      <c r="G450" s="19">
        <v>2.0430305636206625</v>
      </c>
    </row>
    <row r="451" spans="2:7" x14ac:dyDescent="0.3">
      <c r="B451" s="32" t="s">
        <v>233</v>
      </c>
      <c r="C451" s="19">
        <v>0.76457126932366215</v>
      </c>
      <c r="D451" s="19">
        <v>0.35903186408764992</v>
      </c>
      <c r="E451" s="19">
        <v>2.0611289303144802E-4</v>
      </c>
      <c r="F451" s="19">
        <v>0.44270442439414259</v>
      </c>
      <c r="G451" s="19">
        <v>1.8056181927987844</v>
      </c>
    </row>
    <row r="452" spans="2:7" x14ac:dyDescent="0.3">
      <c r="B452" s="32" t="s">
        <v>236</v>
      </c>
      <c r="C452" s="19">
        <v>0.58273526524860786</v>
      </c>
      <c r="D452" s="19">
        <v>0.54148019929922908</v>
      </c>
      <c r="E452" s="19">
        <v>0.1791336615494496</v>
      </c>
      <c r="F452" s="19">
        <v>2.9573309535231938E-2</v>
      </c>
      <c r="G452" s="19">
        <v>0.15306673223949968</v>
      </c>
    </row>
    <row r="453" spans="2:7" x14ac:dyDescent="0.3">
      <c r="B453" s="32" t="s">
        <v>239</v>
      </c>
      <c r="C453" s="19">
        <v>0.55827224605788106</v>
      </c>
      <c r="D453" s="19">
        <v>0.65947518027561469</v>
      </c>
      <c r="E453" s="19">
        <v>0.24203621255998128</v>
      </c>
      <c r="F453" s="19">
        <v>2.2142856014732552E-3</v>
      </c>
      <c r="G453" s="19">
        <v>0.48359615715180504</v>
      </c>
    </row>
    <row r="454" spans="2:7" x14ac:dyDescent="0.3">
      <c r="B454" s="32" t="s">
        <v>242</v>
      </c>
      <c r="C454" s="19">
        <v>0.5760418115487127</v>
      </c>
      <c r="D454" s="19">
        <v>0.57026360302018764</v>
      </c>
      <c r="E454" s="19">
        <v>0.17547584116456347</v>
      </c>
      <c r="F454" s="19">
        <v>4.3121356619977509E-6</v>
      </c>
      <c r="G454" s="19">
        <v>0.21216678233566724</v>
      </c>
    </row>
    <row r="455" spans="2:7" x14ac:dyDescent="0.3">
      <c r="B455" s="32" t="s">
        <v>245</v>
      </c>
      <c r="C455" s="19">
        <v>0.54390327831075225</v>
      </c>
      <c r="D455" s="19">
        <v>0.6209991925760886</v>
      </c>
      <c r="E455" s="19">
        <v>0.30790617615006166</v>
      </c>
      <c r="F455" s="19">
        <v>7.9991110853974701E-3</v>
      </c>
      <c r="G455" s="19">
        <v>0.43279809682930048</v>
      </c>
    </row>
    <row r="456" spans="2:7" x14ac:dyDescent="0.3">
      <c r="B456" s="32" t="s">
        <v>248</v>
      </c>
      <c r="C456" s="19">
        <v>0.44734117276180629</v>
      </c>
      <c r="D456" s="19">
        <v>0.78641720620332256</v>
      </c>
      <c r="E456" s="19">
        <v>0.20160757145098393</v>
      </c>
      <c r="F456" s="19">
        <v>1.0070889999335537E-3</v>
      </c>
      <c r="G456" s="19">
        <v>0.40043613711069648</v>
      </c>
    </row>
    <row r="457" spans="2:7" x14ac:dyDescent="0.3">
      <c r="B457" s="32" t="s">
        <v>251</v>
      </c>
      <c r="C457" s="19">
        <v>0.60667903033991866</v>
      </c>
      <c r="D457" s="19">
        <v>0.54366451901868262</v>
      </c>
      <c r="E457" s="19">
        <v>0.29248216622663153</v>
      </c>
      <c r="F457" s="19">
        <v>1.2831534909708061E-3</v>
      </c>
      <c r="G457" s="19">
        <v>0.21480392602458315</v>
      </c>
    </row>
    <row r="458" spans="2:7" x14ac:dyDescent="0.3">
      <c r="B458" s="32" t="s">
        <v>254</v>
      </c>
      <c r="C458" s="19">
        <v>0.54474591497527269</v>
      </c>
      <c r="D458" s="19">
        <v>0.65511915734483095</v>
      </c>
      <c r="E458" s="19">
        <v>0.32246491223203183</v>
      </c>
      <c r="F458" s="19">
        <v>9.3000876370606771E-3</v>
      </c>
      <c r="G458" s="19">
        <v>0.42107661539004254</v>
      </c>
    </row>
    <row r="459" spans="2:7" x14ac:dyDescent="0.3">
      <c r="B459" s="32" t="s">
        <v>257</v>
      </c>
      <c r="C459" s="19">
        <v>0.45402199980318969</v>
      </c>
      <c r="D459" s="19">
        <v>0.67193400797852043</v>
      </c>
      <c r="E459" s="19">
        <v>0.30420029889087069</v>
      </c>
      <c r="F459" s="19">
        <v>7.0470708782810294E-3</v>
      </c>
      <c r="G459" s="19">
        <v>0.4778726436135935</v>
      </c>
    </row>
    <row r="460" spans="2:7" x14ac:dyDescent="0.3">
      <c r="B460" s="32" t="s">
        <v>260</v>
      </c>
      <c r="C460" s="19">
        <v>0.56672370624445356</v>
      </c>
      <c r="D460" s="19">
        <v>0.62770540702382926</v>
      </c>
      <c r="E460" s="19">
        <v>0.27966114640396689</v>
      </c>
      <c r="F460" s="19">
        <v>7.3606714155360926E-3</v>
      </c>
      <c r="G460" s="19">
        <v>0.2296806690566677</v>
      </c>
    </row>
    <row r="461" spans="2:7" x14ac:dyDescent="0.3">
      <c r="B461" s="32" t="s">
        <v>263</v>
      </c>
      <c r="C461" s="19">
        <v>0.5096311594788081</v>
      </c>
      <c r="D461" s="19">
        <v>0.73740224305599478</v>
      </c>
      <c r="E461" s="19">
        <v>0.2172115411998386</v>
      </c>
      <c r="F461" s="19">
        <v>1.5216417566218587E-3</v>
      </c>
      <c r="G461" s="19">
        <v>0.42581463336449543</v>
      </c>
    </row>
    <row r="462" spans="2:7" x14ac:dyDescent="0.3">
      <c r="B462" s="32" t="s">
        <v>266</v>
      </c>
      <c r="C462" s="19">
        <v>0.45955042531474977</v>
      </c>
      <c r="D462" s="19">
        <v>0.69791122393274618</v>
      </c>
      <c r="E462" s="19">
        <v>0.32531333069847151</v>
      </c>
      <c r="F462" s="19">
        <v>7.9377912521943813E-3</v>
      </c>
      <c r="G462" s="19">
        <v>0.44570014821715781</v>
      </c>
    </row>
    <row r="463" spans="2:7" x14ac:dyDescent="0.3">
      <c r="B463" s="32" t="s">
        <v>269</v>
      </c>
      <c r="C463" s="19">
        <v>0.63838391202799882</v>
      </c>
      <c r="D463" s="19">
        <v>0.74351954634410466</v>
      </c>
      <c r="E463" s="19">
        <v>0.22197404256434203</v>
      </c>
      <c r="F463" s="19">
        <v>1.0156756273065784E-3</v>
      </c>
      <c r="G463" s="19">
        <v>0.34825578530736001</v>
      </c>
    </row>
    <row r="464" spans="2:7" x14ac:dyDescent="0.3">
      <c r="B464" s="32" t="s">
        <v>272</v>
      </c>
      <c r="C464" s="19">
        <v>0.71822877922507555</v>
      </c>
      <c r="D464" s="19">
        <v>0.52832735371530115</v>
      </c>
      <c r="E464" s="19">
        <v>0.18357340403102779</v>
      </c>
      <c r="F464" s="19">
        <v>1.3255693961042997E-3</v>
      </c>
      <c r="G464" s="19">
        <v>0.31493841355432495</v>
      </c>
    </row>
    <row r="465" spans="2:7" x14ac:dyDescent="0.3">
      <c r="B465" s="32" t="s">
        <v>275</v>
      </c>
      <c r="C465" s="19">
        <v>6.7946201252019387</v>
      </c>
      <c r="D465" s="19">
        <v>0.52074489724645001</v>
      </c>
      <c r="E465" s="19">
        <v>3.8073943666521113</v>
      </c>
      <c r="F465" s="19">
        <v>0.31895771361952957</v>
      </c>
      <c r="G465" s="19">
        <v>2.5753023245929341</v>
      </c>
    </row>
    <row r="466" spans="2:7" x14ac:dyDescent="0.3">
      <c r="B466" s="32" t="s">
        <v>278</v>
      </c>
      <c r="C466" s="19">
        <v>12.270996299692458</v>
      </c>
      <c r="D466" s="19">
        <v>3.2889546449317293</v>
      </c>
      <c r="E466" s="19">
        <v>1.2243547083403448</v>
      </c>
      <c r="F466" s="19">
        <v>1.3420579842070028</v>
      </c>
      <c r="G466" s="19">
        <v>2.9650059006187477</v>
      </c>
    </row>
    <row r="467" spans="2:7" x14ac:dyDescent="0.3">
      <c r="B467" s="32" t="s">
        <v>281</v>
      </c>
      <c r="C467" s="19">
        <v>13.292310566244174</v>
      </c>
      <c r="D467" s="19">
        <v>0.84902686207465694</v>
      </c>
      <c r="E467" s="19">
        <v>2.0594342653529099</v>
      </c>
      <c r="F467" s="19">
        <v>0.25325513903194402</v>
      </c>
      <c r="G467" s="19">
        <v>5.1853370327626696</v>
      </c>
    </row>
    <row r="468" spans="2:7" x14ac:dyDescent="0.3">
      <c r="B468" s="32" t="s">
        <v>284</v>
      </c>
      <c r="C468" s="19">
        <v>6.4883685036007748</v>
      </c>
      <c r="D468" s="19">
        <v>1.1432697488285852</v>
      </c>
      <c r="E468" s="19">
        <v>2.3776700893425855E-2</v>
      </c>
      <c r="F468" s="19">
        <v>1.5986145978573143</v>
      </c>
      <c r="G468" s="19">
        <v>3.7945554076232053</v>
      </c>
    </row>
    <row r="469" spans="2:7" x14ac:dyDescent="0.3">
      <c r="B469" s="32" t="s">
        <v>287</v>
      </c>
      <c r="C469" s="19">
        <v>10.838089846757299</v>
      </c>
      <c r="D469" s="19">
        <v>2.8232690789214496</v>
      </c>
      <c r="E469" s="19">
        <v>1.7620282893952244</v>
      </c>
      <c r="F469" s="19">
        <v>0.3270877420459587</v>
      </c>
      <c r="G469" s="19">
        <v>1.4278594035102787</v>
      </c>
    </row>
    <row r="470" spans="2:7" x14ac:dyDescent="0.3">
      <c r="B470" s="32" t="s">
        <v>290</v>
      </c>
      <c r="C470" s="19">
        <v>8.8255455427050489E-2</v>
      </c>
      <c r="D470" s="19">
        <v>1.1530214490759878</v>
      </c>
      <c r="E470" s="19">
        <v>3.1918700497620347</v>
      </c>
      <c r="F470" s="19">
        <v>2.1663334853302172</v>
      </c>
      <c r="G470" s="19">
        <v>0.66700321539523788</v>
      </c>
    </row>
    <row r="471" spans="2:7" x14ac:dyDescent="0.3">
      <c r="B471" s="32" t="s">
        <v>293</v>
      </c>
      <c r="C471" s="19">
        <v>0.14620094892959848</v>
      </c>
      <c r="D471" s="19">
        <v>0.46229153844297771</v>
      </c>
      <c r="E471" s="19">
        <v>2.9555582587552053E-3</v>
      </c>
      <c r="F471" s="19">
        <v>2.8432748023185326E-2</v>
      </c>
      <c r="G471" s="19">
        <v>0.3263781147431864</v>
      </c>
    </row>
    <row r="472" spans="2:7" x14ac:dyDescent="0.3">
      <c r="B472" s="32" t="s">
        <v>296</v>
      </c>
      <c r="C472" s="19">
        <v>0.10947181210031658</v>
      </c>
      <c r="D472" s="19">
        <v>0.54688488106968935</v>
      </c>
      <c r="E472" s="19">
        <v>6.7558708330823045E-2</v>
      </c>
      <c r="F472" s="19">
        <v>8.5601204506398132E-2</v>
      </c>
      <c r="G472" s="19">
        <v>0.11736045561592558</v>
      </c>
    </row>
    <row r="473" spans="2:7" x14ac:dyDescent="0.3">
      <c r="B473" s="32" t="s">
        <v>299</v>
      </c>
      <c r="C473" s="19">
        <v>0.51784742355350077</v>
      </c>
      <c r="D473" s="19">
        <v>1.4998664884064206</v>
      </c>
      <c r="E473" s="19">
        <v>0.20493188144109326</v>
      </c>
      <c r="F473" s="19">
        <v>0.45182736797760786</v>
      </c>
      <c r="G473" s="19">
        <v>3.4091259532597076</v>
      </c>
    </row>
    <row r="474" spans="2:7" x14ac:dyDescent="0.3">
      <c r="B474" s="32" t="s">
        <v>302</v>
      </c>
      <c r="C474" s="19">
        <v>0.51235098213655905</v>
      </c>
      <c r="D474" s="19">
        <v>1.2975909038696662</v>
      </c>
      <c r="E474" s="19">
        <v>0.10747356271588503</v>
      </c>
      <c r="F474" s="19">
        <v>0.20298269244303166</v>
      </c>
      <c r="G474" s="19">
        <v>3.1600604319895393</v>
      </c>
    </row>
    <row r="475" spans="2:7" x14ac:dyDescent="0.3">
      <c r="B475" s="32" t="s">
        <v>305</v>
      </c>
      <c r="C475" s="19">
        <v>0.44269708211254094</v>
      </c>
      <c r="D475" s="19">
        <v>1.2754302636091228</v>
      </c>
      <c r="E475" s="19">
        <v>0.17037403611093502</v>
      </c>
      <c r="F475" s="19">
        <v>0.39039968315347479</v>
      </c>
      <c r="G475" s="19">
        <v>2.0348909965272508</v>
      </c>
    </row>
    <row r="476" spans="2:7" x14ac:dyDescent="0.3">
      <c r="B476" s="32" t="s">
        <v>308</v>
      </c>
      <c r="C476" s="19">
        <v>0.35852372274812444</v>
      </c>
      <c r="D476" s="19">
        <v>1.5876899714518835</v>
      </c>
      <c r="E476" s="19">
        <v>9.4064616150987942E-4</v>
      </c>
      <c r="F476" s="19">
        <v>7.3897569422950435E-2</v>
      </c>
      <c r="G476" s="19">
        <v>4.3089947271874331</v>
      </c>
    </row>
    <row r="477" spans="2:7" x14ac:dyDescent="0.3">
      <c r="B477" s="32" t="s">
        <v>311</v>
      </c>
      <c r="C477" s="19">
        <v>0.53991127906765513</v>
      </c>
      <c r="D477" s="19">
        <v>0.76273769683257686</v>
      </c>
      <c r="E477" s="19">
        <v>3.0838295229883499E-2</v>
      </c>
      <c r="F477" s="19">
        <v>9.7273747314563647E-2</v>
      </c>
      <c r="G477" s="19">
        <v>5.4303419308615132E-2</v>
      </c>
    </row>
    <row r="478" spans="2:7" x14ac:dyDescent="0.3">
      <c r="B478" s="32" t="s">
        <v>314</v>
      </c>
      <c r="C478" s="19">
        <v>0.67119567710267292</v>
      </c>
      <c r="D478" s="19">
        <v>1.2331304535634999</v>
      </c>
      <c r="E478" s="19">
        <v>4.3912205744829895E-2</v>
      </c>
      <c r="F478" s="19">
        <v>1.0599162810329804E-2</v>
      </c>
      <c r="G478" s="19">
        <v>0.75158107487746217</v>
      </c>
    </row>
    <row r="479" spans="2:7" x14ac:dyDescent="0.3">
      <c r="B479" s="32" t="s">
        <v>317</v>
      </c>
      <c r="C479" s="19">
        <v>0.36136426343572436</v>
      </c>
      <c r="D479" s="19">
        <v>0.73821482789679527</v>
      </c>
      <c r="E479" s="19">
        <v>3.5529360255690069E-2</v>
      </c>
      <c r="F479" s="19">
        <v>1.6733040637355635E-2</v>
      </c>
      <c r="G479" s="19">
        <v>0.21418268302059046</v>
      </c>
    </row>
    <row r="480" spans="2:7" x14ac:dyDescent="0.3">
      <c r="B480" s="32" t="s">
        <v>320</v>
      </c>
      <c r="C480" s="19">
        <v>0.11283649602013533</v>
      </c>
      <c r="D480" s="19">
        <v>1.0551867921177318</v>
      </c>
      <c r="E480" s="19">
        <v>1.8060260154879142E-2</v>
      </c>
      <c r="F480" s="19">
        <v>3.0264855133654501E-2</v>
      </c>
      <c r="G480" s="19">
        <v>0.68061540628935002</v>
      </c>
    </row>
    <row r="481" spans="2:7" ht="15" thickBot="1" x14ac:dyDescent="0.35">
      <c r="B481" s="42" t="s">
        <v>323</v>
      </c>
      <c r="C481" s="20">
        <v>0.31170830252701265</v>
      </c>
      <c r="D481" s="20">
        <v>1.1375172139377434</v>
      </c>
      <c r="E481" s="20">
        <v>0.29033055632942645</v>
      </c>
      <c r="F481" s="20">
        <v>0.3887935681773288</v>
      </c>
      <c r="G481" s="20">
        <v>0.96182694892340592</v>
      </c>
    </row>
    <row r="484" spans="2:7" x14ac:dyDescent="0.3">
      <c r="B484" s="31" t="s">
        <v>381</v>
      </c>
    </row>
    <row r="485" spans="2:7" ht="15" thickBot="1" x14ac:dyDescent="0.35"/>
    <row r="486" spans="2:7" x14ac:dyDescent="0.3">
      <c r="B486" s="34"/>
      <c r="C486" s="35" t="s">
        <v>382</v>
      </c>
    </row>
    <row r="487" spans="2:7" x14ac:dyDescent="0.3">
      <c r="B487" s="41" t="s">
        <v>346</v>
      </c>
      <c r="C487" s="18">
        <v>0.1111111111111111</v>
      </c>
    </row>
    <row r="488" spans="2:7" x14ac:dyDescent="0.3">
      <c r="B488" s="32" t="s">
        <v>347</v>
      </c>
      <c r="C488" s="19">
        <v>0.29292929292929298</v>
      </c>
    </row>
    <row r="489" spans="2:7" x14ac:dyDescent="0.3">
      <c r="B489" s="32" t="s">
        <v>348</v>
      </c>
      <c r="C489" s="19">
        <v>0.13131313131313133</v>
      </c>
    </row>
    <row r="490" spans="2:7" x14ac:dyDescent="0.3">
      <c r="B490" s="32" t="s">
        <v>349</v>
      </c>
      <c r="C490" s="19">
        <v>9.0909090909090925E-2</v>
      </c>
    </row>
    <row r="491" spans="2:7" ht="15" thickBot="1" x14ac:dyDescent="0.35">
      <c r="B491" s="42" t="s">
        <v>350</v>
      </c>
      <c r="C491" s="20">
        <v>0.22222222222222224</v>
      </c>
    </row>
    <row r="511" spans="7:7" x14ac:dyDescent="0.3">
      <c r="G511" t="s">
        <v>372</v>
      </c>
    </row>
    <row r="514" spans="2:7" x14ac:dyDescent="0.3">
      <c r="B514" s="31" t="s">
        <v>383</v>
      </c>
    </row>
    <row r="515" spans="2:7" ht="15" thickBot="1" x14ac:dyDescent="0.35"/>
    <row r="516" spans="2:7" x14ac:dyDescent="0.3">
      <c r="B516" s="34"/>
      <c r="C516" s="35" t="s">
        <v>346</v>
      </c>
      <c r="D516" s="35" t="s">
        <v>347</v>
      </c>
      <c r="E516" s="35" t="s">
        <v>348</v>
      </c>
      <c r="F516" s="35" t="s">
        <v>349</v>
      </c>
      <c r="G516" s="35" t="s">
        <v>350</v>
      </c>
    </row>
    <row r="517" spans="2:7" x14ac:dyDescent="0.3">
      <c r="B517" s="41" t="s">
        <v>29</v>
      </c>
      <c r="C517" s="18">
        <v>0.12712698053571816</v>
      </c>
      <c r="D517" s="21">
        <v>0.44167959348506947</v>
      </c>
      <c r="E517" s="18">
        <v>0.22897097382887105</v>
      </c>
      <c r="F517" s="18">
        <v>0.11751910457906584</v>
      </c>
      <c r="G517" s="18">
        <v>6.4040519698556814E-2</v>
      </c>
    </row>
    <row r="518" spans="2:7" x14ac:dyDescent="0.3">
      <c r="B518" s="32" t="s">
        <v>32</v>
      </c>
      <c r="C518" s="19">
        <v>0.1203153389139168</v>
      </c>
      <c r="D518" s="23">
        <v>0.45871953322672238</v>
      </c>
      <c r="E518" s="19">
        <v>0.24015949861100772</v>
      </c>
      <c r="F518" s="19">
        <v>0.11280244736321998</v>
      </c>
      <c r="G518" s="19">
        <v>4.121405474033419E-2</v>
      </c>
    </row>
    <row r="519" spans="2:7" x14ac:dyDescent="0.3">
      <c r="B519" s="32" t="s">
        <v>35</v>
      </c>
      <c r="C519" s="19">
        <v>8.9984321091528416E-2</v>
      </c>
      <c r="D519" s="23">
        <v>0.46782538003281915</v>
      </c>
      <c r="E519" s="19">
        <v>0.25169956677503635</v>
      </c>
      <c r="F519" s="19">
        <v>0.11366107922010646</v>
      </c>
      <c r="G519" s="19">
        <v>5.42225810277666E-2</v>
      </c>
    </row>
    <row r="520" spans="2:7" x14ac:dyDescent="0.3">
      <c r="B520" s="32" t="s">
        <v>38</v>
      </c>
      <c r="C520" s="23">
        <v>0.31957036704128444</v>
      </c>
      <c r="D520" s="19">
        <v>0.12062201865131537</v>
      </c>
      <c r="E520" s="19">
        <v>8.3943143437149301E-2</v>
      </c>
      <c r="F520" s="19">
        <v>0.12165294075921794</v>
      </c>
      <c r="G520" s="19">
        <v>5.3393369141924406E-3</v>
      </c>
    </row>
    <row r="521" spans="2:7" x14ac:dyDescent="0.3">
      <c r="B521" s="32" t="s">
        <v>41</v>
      </c>
      <c r="C521" s="19">
        <v>0.22241095126631574</v>
      </c>
      <c r="D521" s="23">
        <v>0.60335241595283318</v>
      </c>
      <c r="E521" s="19">
        <v>0.12285385688376958</v>
      </c>
      <c r="F521" s="19">
        <v>4.2966397749382044E-3</v>
      </c>
      <c r="G521" s="19">
        <v>6.3122948140086742E-3</v>
      </c>
    </row>
    <row r="522" spans="2:7" x14ac:dyDescent="0.3">
      <c r="B522" s="32" t="s">
        <v>44</v>
      </c>
      <c r="C522" s="23">
        <v>0.18304921698752144</v>
      </c>
      <c r="D522" s="19">
        <v>3.5762700298472755E-2</v>
      </c>
      <c r="E522" s="19">
        <v>2.2121380973339173E-2</v>
      </c>
      <c r="F522" s="19">
        <v>2.603466169795387E-3</v>
      </c>
      <c r="G522" s="19">
        <v>2.038726505392472E-3</v>
      </c>
    </row>
    <row r="523" spans="2:7" x14ac:dyDescent="0.3">
      <c r="B523" s="32" t="s">
        <v>47</v>
      </c>
      <c r="C523" s="23">
        <v>0.20707885781792204</v>
      </c>
      <c r="D523" s="19">
        <v>4.4720654140712378E-2</v>
      </c>
      <c r="E523" s="19">
        <v>3.8386832708676481E-2</v>
      </c>
      <c r="F523" s="19">
        <v>1.249848402204373E-2</v>
      </c>
      <c r="G523" s="19">
        <v>1.8481969087618788E-3</v>
      </c>
    </row>
    <row r="524" spans="2:7" x14ac:dyDescent="0.3">
      <c r="B524" s="32" t="s">
        <v>50</v>
      </c>
      <c r="C524" s="19">
        <v>0.18303473685531185</v>
      </c>
      <c r="D524" s="23">
        <v>0.38250753833090645</v>
      </c>
      <c r="E524" s="19">
        <v>0.11854764129536159</v>
      </c>
      <c r="F524" s="19">
        <v>2.8811364532012967E-2</v>
      </c>
      <c r="G524" s="19">
        <v>7.7752913330320916E-2</v>
      </c>
    </row>
    <row r="525" spans="2:7" x14ac:dyDescent="0.3">
      <c r="B525" s="32" t="s">
        <v>53</v>
      </c>
      <c r="C525" s="19">
        <v>0.20956140432306689</v>
      </c>
      <c r="D525" s="23">
        <v>0.41902832212609398</v>
      </c>
      <c r="E525" s="19">
        <v>1.6154457413486371E-2</v>
      </c>
      <c r="F525" s="19">
        <v>2.2480681601340096E-3</v>
      </c>
      <c r="G525" s="19">
        <v>4.7240539198014908E-3</v>
      </c>
    </row>
    <row r="526" spans="2:7" x14ac:dyDescent="0.3">
      <c r="B526" s="32" t="s">
        <v>56</v>
      </c>
      <c r="C526" s="19">
        <v>0.18430501892255177</v>
      </c>
      <c r="D526" s="23">
        <v>0.38762403995028022</v>
      </c>
      <c r="E526" s="19">
        <v>0.15382667132521113</v>
      </c>
      <c r="F526" s="19">
        <v>9.9074725236888571E-4</v>
      </c>
      <c r="G526" s="19">
        <v>4.9817039360914245E-3</v>
      </c>
    </row>
    <row r="527" spans="2:7" x14ac:dyDescent="0.3">
      <c r="B527" s="32" t="s">
        <v>59</v>
      </c>
      <c r="C527" s="19">
        <v>0.20008260174509543</v>
      </c>
      <c r="D527" s="23">
        <v>0.4663100937769924</v>
      </c>
      <c r="E527" s="19">
        <v>7.3569111112169822E-2</v>
      </c>
      <c r="F527" s="19">
        <v>1.4031364832984675E-2</v>
      </c>
      <c r="G527" s="19">
        <v>9.0137344572885372E-2</v>
      </c>
    </row>
    <row r="528" spans="2:7" x14ac:dyDescent="0.3">
      <c r="B528" s="32" t="s">
        <v>62</v>
      </c>
      <c r="C528" s="23">
        <v>0.4850502604050228</v>
      </c>
      <c r="D528" s="19">
        <v>0.14671944709468321</v>
      </c>
      <c r="E528" s="19">
        <v>0.17646631260392931</v>
      </c>
      <c r="F528" s="19">
        <v>1.6605035732300184E-3</v>
      </c>
      <c r="G528" s="19">
        <v>1.9604715231720329E-2</v>
      </c>
    </row>
    <row r="529" spans="2:7" x14ac:dyDescent="0.3">
      <c r="B529" s="32" t="s">
        <v>65</v>
      </c>
      <c r="C529" s="23">
        <v>0.38678065752974544</v>
      </c>
      <c r="D529" s="19">
        <v>0.29975926698184763</v>
      </c>
      <c r="E529" s="19">
        <v>8.7285830323411057E-2</v>
      </c>
      <c r="F529" s="19">
        <v>1.6878541642944136E-5</v>
      </c>
      <c r="G529" s="19">
        <v>1.0207559955904024E-3</v>
      </c>
    </row>
    <row r="530" spans="2:7" x14ac:dyDescent="0.3">
      <c r="B530" s="32" t="s">
        <v>68</v>
      </c>
      <c r="C530" s="23">
        <v>0.44366479985364538</v>
      </c>
      <c r="D530" s="19">
        <v>0.22876986517367356</v>
      </c>
      <c r="E530" s="19">
        <v>0.14576988745990727</v>
      </c>
      <c r="F530" s="19">
        <v>1.7685264225439711E-2</v>
      </c>
      <c r="G530" s="19">
        <v>1.7685278002323283E-3</v>
      </c>
    </row>
    <row r="531" spans="2:7" x14ac:dyDescent="0.3">
      <c r="B531" s="32" t="s">
        <v>71</v>
      </c>
      <c r="C531" s="23">
        <v>0.43483483508751375</v>
      </c>
      <c r="D531" s="19">
        <v>0.17536388460467797</v>
      </c>
      <c r="E531" s="19">
        <v>0.15449062991533746</v>
      </c>
      <c r="F531" s="19">
        <v>1.0027668265482305E-3</v>
      </c>
      <c r="G531" s="19">
        <v>7.9576559374215693E-4</v>
      </c>
    </row>
    <row r="532" spans="2:7" x14ac:dyDescent="0.3">
      <c r="B532" s="32" t="s">
        <v>74</v>
      </c>
      <c r="C532" s="23">
        <v>0.40707632861047616</v>
      </c>
      <c r="D532" s="19">
        <v>0.19023934640069456</v>
      </c>
      <c r="E532" s="19">
        <v>0.22131005805854756</v>
      </c>
      <c r="F532" s="19">
        <v>1.594629164347268E-5</v>
      </c>
      <c r="G532" s="19">
        <v>5.3969214975285061E-3</v>
      </c>
    </row>
    <row r="533" spans="2:7" x14ac:dyDescent="0.3">
      <c r="B533" s="32" t="s">
        <v>77</v>
      </c>
      <c r="C533" s="23">
        <v>0.38106098481812173</v>
      </c>
      <c r="D533" s="19">
        <v>0.20383579850449779</v>
      </c>
      <c r="E533" s="19">
        <v>3.3335123305002455E-2</v>
      </c>
      <c r="F533" s="19">
        <v>3.4477207049411984E-2</v>
      </c>
      <c r="G533" s="19">
        <v>9.8281503624528706E-3</v>
      </c>
    </row>
    <row r="534" spans="2:7" x14ac:dyDescent="0.3">
      <c r="B534" s="32" t="s">
        <v>80</v>
      </c>
      <c r="C534" s="19">
        <v>0.37047451197484449</v>
      </c>
      <c r="D534" s="23">
        <v>0.39004740267000004</v>
      </c>
      <c r="E534" s="19">
        <v>0.15341845620398251</v>
      </c>
      <c r="F534" s="19">
        <v>4.2834364562559391E-3</v>
      </c>
      <c r="G534" s="19">
        <v>2.3015071632964304E-2</v>
      </c>
    </row>
    <row r="535" spans="2:7" x14ac:dyDescent="0.3">
      <c r="B535" s="32" t="s">
        <v>83</v>
      </c>
      <c r="C535" s="23">
        <v>0.39517601999636109</v>
      </c>
      <c r="D535" s="19">
        <v>2.4418390843513756E-3</v>
      </c>
      <c r="E535" s="19">
        <v>1.3976382845852777E-2</v>
      </c>
      <c r="F535" s="19">
        <v>4.0170574773953797E-2</v>
      </c>
      <c r="G535" s="19">
        <v>1.2842217221793276E-2</v>
      </c>
    </row>
    <row r="536" spans="2:7" x14ac:dyDescent="0.3">
      <c r="B536" s="32" t="s">
        <v>86</v>
      </c>
      <c r="C536" s="19">
        <v>9.6191908386966701E-2</v>
      </c>
      <c r="D536" s="23">
        <v>0.49618639276693588</v>
      </c>
      <c r="E536" s="19">
        <v>9.6901762759794424E-2</v>
      </c>
      <c r="F536" s="19">
        <v>4.1339149384096475E-3</v>
      </c>
      <c r="G536" s="19">
        <v>6.322896614014915E-3</v>
      </c>
    </row>
    <row r="537" spans="2:7" x14ac:dyDescent="0.3">
      <c r="B537" s="32" t="s">
        <v>89</v>
      </c>
      <c r="C537" s="23">
        <v>0.44146928084465592</v>
      </c>
      <c r="D537" s="19">
        <v>1.5145699479401788E-2</v>
      </c>
      <c r="E537" s="19">
        <v>8.3431101088825066E-2</v>
      </c>
      <c r="F537" s="19">
        <v>2.3661281061356176E-2</v>
      </c>
      <c r="G537" s="19">
        <v>9.0480488800279314E-7</v>
      </c>
    </row>
    <row r="538" spans="2:7" x14ac:dyDescent="0.3">
      <c r="B538" s="32" t="s">
        <v>92</v>
      </c>
      <c r="C538" s="23">
        <v>0.33807430370412817</v>
      </c>
      <c r="D538" s="19">
        <v>0.28967043863748676</v>
      </c>
      <c r="E538" s="19">
        <v>0.17137054745175195</v>
      </c>
      <c r="F538" s="19">
        <v>1.9632349921137656E-3</v>
      </c>
      <c r="G538" s="19">
        <v>4.818776380353074E-3</v>
      </c>
    </row>
    <row r="539" spans="2:7" x14ac:dyDescent="0.3">
      <c r="B539" s="32" t="s">
        <v>95</v>
      </c>
      <c r="C539" s="19">
        <v>0.31959276411539761</v>
      </c>
      <c r="D539" s="23">
        <v>0.33852086601411518</v>
      </c>
      <c r="E539" s="19">
        <v>8.6181005506841449E-2</v>
      </c>
      <c r="F539" s="19">
        <v>2.5976772756177635E-3</v>
      </c>
      <c r="G539" s="19">
        <v>4.462467769328432E-3</v>
      </c>
    </row>
    <row r="540" spans="2:7" x14ac:dyDescent="0.3">
      <c r="B540" s="32" t="s">
        <v>98</v>
      </c>
      <c r="C540" s="23">
        <v>0.14708032350311367</v>
      </c>
      <c r="D540" s="19">
        <v>0.12462129876515872</v>
      </c>
      <c r="E540" s="19">
        <v>2.1726782411024836E-2</v>
      </c>
      <c r="F540" s="19">
        <v>2.4661425469008538E-3</v>
      </c>
      <c r="G540" s="19">
        <v>4.127455474397667E-2</v>
      </c>
    </row>
    <row r="541" spans="2:7" x14ac:dyDescent="0.3">
      <c r="B541" s="32" t="s">
        <v>101</v>
      </c>
      <c r="C541" s="19">
        <v>0.2026228111315064</v>
      </c>
      <c r="D541" s="23">
        <v>0.41591875158937258</v>
      </c>
      <c r="E541" s="19">
        <v>0.12611596828916255</v>
      </c>
      <c r="F541" s="19">
        <v>2.3117718242269145E-2</v>
      </c>
      <c r="G541" s="19">
        <v>8.6605063606327859E-2</v>
      </c>
    </row>
    <row r="542" spans="2:7" x14ac:dyDescent="0.3">
      <c r="B542" s="32" t="s">
        <v>104</v>
      </c>
      <c r="C542" s="19">
        <v>0.12650587257215387</v>
      </c>
      <c r="D542" s="23">
        <v>0.27634485476945397</v>
      </c>
      <c r="E542" s="19">
        <v>0.17179676922884063</v>
      </c>
      <c r="F542" s="19">
        <v>5.9832838542793691E-2</v>
      </c>
      <c r="G542" s="19">
        <v>4.1566007176169081E-2</v>
      </c>
    </row>
    <row r="543" spans="2:7" x14ac:dyDescent="0.3">
      <c r="B543" s="32" t="s">
        <v>107</v>
      </c>
      <c r="C543" s="19">
        <v>3.7071826438946569E-2</v>
      </c>
      <c r="D543" s="23">
        <v>0.43516497796504905</v>
      </c>
      <c r="E543" s="19">
        <v>0.26748343474027847</v>
      </c>
      <c r="F543" s="19">
        <v>8.3231167435055786E-5</v>
      </c>
      <c r="G543" s="19">
        <v>3.3434727579615673E-3</v>
      </c>
    </row>
    <row r="544" spans="2:7" x14ac:dyDescent="0.3">
      <c r="B544" s="32" t="s">
        <v>110</v>
      </c>
      <c r="C544" s="19">
        <v>0.10458193962979272</v>
      </c>
      <c r="D544" s="19">
        <v>0.14246439558661853</v>
      </c>
      <c r="E544" s="23">
        <v>0.43210085839603374</v>
      </c>
      <c r="F544" s="19">
        <v>1.3246377256304537E-2</v>
      </c>
      <c r="G544" s="19">
        <v>2.159399120263358E-2</v>
      </c>
    </row>
    <row r="545" spans="2:7" x14ac:dyDescent="0.3">
      <c r="B545" s="32" t="s">
        <v>113</v>
      </c>
      <c r="C545" s="23">
        <v>0.45790444071281705</v>
      </c>
      <c r="D545" s="19">
        <v>0.18228020096091088</v>
      </c>
      <c r="E545" s="19">
        <v>7.2639848092343071E-2</v>
      </c>
      <c r="F545" s="19">
        <v>5.604818585227149E-3</v>
      </c>
      <c r="G545" s="19">
        <v>8.2853821843272557E-3</v>
      </c>
    </row>
    <row r="546" spans="2:7" x14ac:dyDescent="0.3">
      <c r="B546" s="32" t="s">
        <v>116</v>
      </c>
      <c r="C546" s="19">
        <v>0.20564089041216085</v>
      </c>
      <c r="D546" s="23">
        <v>0.57864524776134862</v>
      </c>
      <c r="E546" s="19">
        <v>0.13146505701162542</v>
      </c>
      <c r="F546" s="19">
        <v>5.1460626844834951E-4</v>
      </c>
      <c r="G546" s="19">
        <v>1.1675142743300046E-2</v>
      </c>
    </row>
    <row r="547" spans="2:7" x14ac:dyDescent="0.3">
      <c r="B547" s="32" t="s">
        <v>119</v>
      </c>
      <c r="C547" s="23">
        <v>0.66236877456906218</v>
      </c>
      <c r="D547" s="19">
        <v>4.2455400172977532E-2</v>
      </c>
      <c r="E547" s="19">
        <v>2.8930315693698264E-3</v>
      </c>
      <c r="F547" s="19">
        <v>0.10345100048700794</v>
      </c>
      <c r="G547" s="19">
        <v>5.1290115573359801E-2</v>
      </c>
    </row>
    <row r="548" spans="2:7" x14ac:dyDescent="0.3">
      <c r="B548" s="32" t="s">
        <v>122</v>
      </c>
      <c r="C548" s="23">
        <v>0.33724590333457788</v>
      </c>
      <c r="D548" s="19">
        <v>0.27949000356841719</v>
      </c>
      <c r="E548" s="19">
        <v>9.6056970416551098E-3</v>
      </c>
      <c r="F548" s="19">
        <v>4.3516558796452449E-2</v>
      </c>
      <c r="G548" s="19">
        <v>0.11173191064964076</v>
      </c>
    </row>
    <row r="549" spans="2:7" x14ac:dyDescent="0.3">
      <c r="B549" s="32" t="s">
        <v>125</v>
      </c>
      <c r="C549" s="23">
        <v>0.3665038513737392</v>
      </c>
      <c r="D549" s="19">
        <v>0.23609575020968621</v>
      </c>
      <c r="E549" s="19">
        <v>0.10002853168959765</v>
      </c>
      <c r="F549" s="19">
        <v>2.8547920026329703E-2</v>
      </c>
      <c r="G549" s="19">
        <v>0.11141303610121352</v>
      </c>
    </row>
    <row r="550" spans="2:7" x14ac:dyDescent="0.3">
      <c r="B550" s="32" t="s">
        <v>128</v>
      </c>
      <c r="C550" s="19">
        <v>0.14108255757911298</v>
      </c>
      <c r="D550" s="23">
        <v>0.60158176962541743</v>
      </c>
      <c r="E550" s="19">
        <v>0.15329485492356509</v>
      </c>
      <c r="F550" s="19">
        <v>2.5593272203834824E-3</v>
      </c>
      <c r="G550" s="19">
        <v>4.6554726436474642E-3</v>
      </c>
    </row>
    <row r="551" spans="2:7" x14ac:dyDescent="0.3">
      <c r="B551" s="32" t="s">
        <v>131</v>
      </c>
      <c r="C551" s="19">
        <v>0.26748035424684269</v>
      </c>
      <c r="D551" s="23">
        <v>0.4269025731619952</v>
      </c>
      <c r="E551" s="19">
        <v>0.17709411160880242</v>
      </c>
      <c r="F551" s="19">
        <v>1.0761531061264838E-2</v>
      </c>
      <c r="G551" s="19">
        <v>4.846754944079424E-2</v>
      </c>
    </row>
    <row r="552" spans="2:7" x14ac:dyDescent="0.3">
      <c r="B552" s="32" t="s">
        <v>134</v>
      </c>
      <c r="C552" s="23">
        <v>0.31856176174850886</v>
      </c>
      <c r="D552" s="19">
        <v>5.8507535028800121E-3</v>
      </c>
      <c r="E552" s="19">
        <v>0.31454810672872729</v>
      </c>
      <c r="F552" s="19">
        <v>9.9499381325361159E-3</v>
      </c>
      <c r="G552" s="19">
        <v>9.4187533323724058E-3</v>
      </c>
    </row>
    <row r="553" spans="2:7" x14ac:dyDescent="0.3">
      <c r="B553" s="32" t="s">
        <v>137</v>
      </c>
      <c r="C553" s="19">
        <v>0.15909117326684924</v>
      </c>
      <c r="D553" s="19">
        <v>4.059247066523079E-4</v>
      </c>
      <c r="E553" s="23">
        <v>0.33277300337779564</v>
      </c>
      <c r="F553" s="19">
        <v>3.6894176481923655E-2</v>
      </c>
      <c r="G553" s="19">
        <v>5.0427582183691755E-2</v>
      </c>
    </row>
    <row r="554" spans="2:7" x14ac:dyDescent="0.3">
      <c r="B554" s="32" t="s">
        <v>140</v>
      </c>
      <c r="C554" s="23">
        <v>0.29943480730228311</v>
      </c>
      <c r="D554" s="19">
        <v>0.2076115288812472</v>
      </c>
      <c r="E554" s="19">
        <v>9.7790398830410727E-2</v>
      </c>
      <c r="F554" s="19">
        <v>5.7236094364719069E-2</v>
      </c>
      <c r="G554" s="19">
        <v>0.11652308606322187</v>
      </c>
    </row>
    <row r="555" spans="2:7" x14ac:dyDescent="0.3">
      <c r="B555" s="32" t="s">
        <v>143</v>
      </c>
      <c r="C555" s="23">
        <v>0.28846749841181585</v>
      </c>
      <c r="D555" s="19">
        <v>0.14077375721329247</v>
      </c>
      <c r="E555" s="19">
        <v>4.4644231591199519E-2</v>
      </c>
      <c r="F555" s="19">
        <v>4.2355557250345387E-3</v>
      </c>
      <c r="G555" s="19">
        <v>1.3036998145420397E-2</v>
      </c>
    </row>
    <row r="556" spans="2:7" x14ac:dyDescent="0.3">
      <c r="B556" s="32" t="s">
        <v>146</v>
      </c>
      <c r="C556" s="23">
        <v>0.37883524262711094</v>
      </c>
      <c r="D556" s="19">
        <v>0.17864027952602241</v>
      </c>
      <c r="E556" s="19">
        <v>7.3443132880293957E-2</v>
      </c>
      <c r="F556" s="19">
        <v>9.5813536526884321E-4</v>
      </c>
      <c r="G556" s="19">
        <v>3.6159146754776198E-4</v>
      </c>
    </row>
    <row r="557" spans="2:7" x14ac:dyDescent="0.3">
      <c r="B557" s="32" t="s">
        <v>149</v>
      </c>
      <c r="C557" s="23">
        <v>0.29376124226216577</v>
      </c>
      <c r="D557" s="19">
        <v>0.25383492702987476</v>
      </c>
      <c r="E557" s="19">
        <v>0.21174280980466725</v>
      </c>
      <c r="F557" s="19">
        <v>6.287043160214474E-4</v>
      </c>
      <c r="G557" s="19">
        <v>3.300521200054478E-6</v>
      </c>
    </row>
    <row r="558" spans="2:7" x14ac:dyDescent="0.3">
      <c r="B558" s="32" t="s">
        <v>152</v>
      </c>
      <c r="C558" s="19">
        <v>0.18964839730070152</v>
      </c>
      <c r="D558" s="23">
        <v>0.48494986861947958</v>
      </c>
      <c r="E558" s="19">
        <v>4.2585632175327209E-3</v>
      </c>
      <c r="F558" s="19">
        <v>1.5071361886628613E-2</v>
      </c>
      <c r="G558" s="19">
        <v>9.5238916108170674E-2</v>
      </c>
    </row>
    <row r="559" spans="2:7" x14ac:dyDescent="0.3">
      <c r="B559" s="32" t="s">
        <v>155</v>
      </c>
      <c r="C559" s="19">
        <v>0.20549616546984747</v>
      </c>
      <c r="D559" s="23">
        <v>0.29123894107788245</v>
      </c>
      <c r="E559" s="19">
        <v>4.4733254447524518E-2</v>
      </c>
      <c r="F559" s="19">
        <v>2.8196017938367405E-2</v>
      </c>
      <c r="G559" s="19">
        <v>6.6261661113784873E-3</v>
      </c>
    </row>
    <row r="560" spans="2:7" x14ac:dyDescent="0.3">
      <c r="B560" s="32" t="s">
        <v>158</v>
      </c>
      <c r="C560" s="19">
        <v>0.20740312194523922</v>
      </c>
      <c r="D560" s="23">
        <v>0.35769905867702423</v>
      </c>
      <c r="E560" s="19">
        <v>0.14004931530555501</v>
      </c>
      <c r="F560" s="19">
        <v>5.2670688654233314E-2</v>
      </c>
      <c r="G560" s="19">
        <v>8.1842416688531053E-2</v>
      </c>
    </row>
    <row r="561" spans="2:7" x14ac:dyDescent="0.3">
      <c r="B561" s="32" t="s">
        <v>161</v>
      </c>
      <c r="C561" s="23">
        <v>0.17191927500999171</v>
      </c>
      <c r="D561" s="19">
        <v>6.8586314981395141E-2</v>
      </c>
      <c r="E561" s="19">
        <v>0.1349636525800447</v>
      </c>
      <c r="F561" s="19">
        <v>6.8889515668748208E-2</v>
      </c>
      <c r="G561" s="19">
        <v>0.15500486196230909</v>
      </c>
    </row>
    <row r="562" spans="2:7" x14ac:dyDescent="0.3">
      <c r="B562" s="32" t="s">
        <v>164</v>
      </c>
      <c r="C562" s="19">
        <v>0.25453493019237933</v>
      </c>
      <c r="D562" s="23">
        <v>0.37163807417705813</v>
      </c>
      <c r="E562" s="19">
        <v>5.0466251185727722E-3</v>
      </c>
      <c r="F562" s="19">
        <v>2.6452393763811345E-5</v>
      </c>
      <c r="G562" s="19">
        <v>1.7128643416127489E-2</v>
      </c>
    </row>
    <row r="563" spans="2:7" x14ac:dyDescent="0.3">
      <c r="B563" s="32" t="s">
        <v>167</v>
      </c>
      <c r="C563" s="23">
        <v>0.26087075735686172</v>
      </c>
      <c r="D563" s="19">
        <v>0.25450657057303105</v>
      </c>
      <c r="E563" s="19">
        <v>0.18910403631294961</v>
      </c>
      <c r="F563" s="19">
        <v>4.2728378459823309E-2</v>
      </c>
      <c r="G563" s="19">
        <v>4.8655628422802626E-2</v>
      </c>
    </row>
    <row r="564" spans="2:7" x14ac:dyDescent="0.3">
      <c r="B564" s="32" t="s">
        <v>170</v>
      </c>
      <c r="C564" s="23">
        <v>0.19909555549421404</v>
      </c>
      <c r="D564" s="19">
        <v>8.3149283891604836E-2</v>
      </c>
      <c r="E564" s="19">
        <v>4.0978765144275252E-2</v>
      </c>
      <c r="F564" s="19">
        <v>2.6401576702067837E-2</v>
      </c>
      <c r="G564" s="19">
        <v>3.3210105645581446E-2</v>
      </c>
    </row>
    <row r="565" spans="2:7" x14ac:dyDescent="0.3">
      <c r="B565" s="32" t="s">
        <v>173</v>
      </c>
      <c r="C565" s="23">
        <v>0.75956272601850539</v>
      </c>
      <c r="D565" s="19">
        <v>9.236460617900856E-2</v>
      </c>
      <c r="E565" s="19">
        <v>4.9321533585701075E-3</v>
      </c>
      <c r="F565" s="19">
        <v>1.3455064301946228E-2</v>
      </c>
      <c r="G565" s="19">
        <v>0.10400659167734973</v>
      </c>
    </row>
    <row r="566" spans="2:7" x14ac:dyDescent="0.3">
      <c r="B566" s="32" t="s">
        <v>176</v>
      </c>
      <c r="C566" s="23">
        <v>0.77590749570285611</v>
      </c>
      <c r="D566" s="19">
        <v>2.9563614383248601E-3</v>
      </c>
      <c r="E566" s="19">
        <v>1.1989244767720881E-2</v>
      </c>
      <c r="F566" s="19">
        <v>4.7583214077667871E-2</v>
      </c>
      <c r="G566" s="19">
        <v>0.13968046088204752</v>
      </c>
    </row>
    <row r="567" spans="2:7" x14ac:dyDescent="0.3">
      <c r="B567" s="32" t="s">
        <v>179</v>
      </c>
      <c r="C567" s="23">
        <v>0.60794523917389265</v>
      </c>
      <c r="D567" s="19">
        <v>6.4691189503640931E-2</v>
      </c>
      <c r="E567" s="19">
        <v>8.1084391802162398E-2</v>
      </c>
      <c r="F567" s="19">
        <v>9.2741825260555591E-2</v>
      </c>
      <c r="G567" s="19">
        <v>0.14330462380409176</v>
      </c>
    </row>
    <row r="568" spans="2:7" x14ac:dyDescent="0.3">
      <c r="B568" s="32" t="s">
        <v>182</v>
      </c>
      <c r="C568" s="23">
        <v>0.43130031685510095</v>
      </c>
      <c r="D568" s="19">
        <v>0.15917332588891694</v>
      </c>
      <c r="E568" s="19">
        <v>0.12569498310215652</v>
      </c>
      <c r="F568" s="19">
        <v>0.11299307380149966</v>
      </c>
      <c r="G568" s="19">
        <v>0.14165200931843538</v>
      </c>
    </row>
    <row r="569" spans="2:7" x14ac:dyDescent="0.3">
      <c r="B569" s="32" t="s">
        <v>185</v>
      </c>
      <c r="C569" s="23">
        <v>0.68377855586764746</v>
      </c>
      <c r="D569" s="19">
        <v>6.2544274981968608E-4</v>
      </c>
      <c r="E569" s="19">
        <v>8.9119831924595549E-2</v>
      </c>
      <c r="F569" s="19">
        <v>4.1687783901395624E-2</v>
      </c>
      <c r="G569" s="19">
        <v>9.4243289691867987E-2</v>
      </c>
    </row>
    <row r="570" spans="2:7" x14ac:dyDescent="0.3">
      <c r="B570" s="32" t="s">
        <v>188</v>
      </c>
      <c r="C570" s="23">
        <v>0.75477816026785416</v>
      </c>
      <c r="D570" s="19">
        <v>6.737479741712081E-2</v>
      </c>
      <c r="E570" s="19">
        <v>1.3183851150110875E-2</v>
      </c>
      <c r="F570" s="19">
        <v>1.6685386776001187E-2</v>
      </c>
      <c r="G570" s="19">
        <v>0.11639266450906814</v>
      </c>
    </row>
    <row r="571" spans="2:7" x14ac:dyDescent="0.3">
      <c r="B571" s="32" t="s">
        <v>191</v>
      </c>
      <c r="C571" s="23">
        <v>0.78509710851722714</v>
      </c>
      <c r="D571" s="19">
        <v>5.4161840331008659E-3</v>
      </c>
      <c r="E571" s="19">
        <v>8.2145016562591624E-3</v>
      </c>
      <c r="F571" s="19">
        <v>4.5965545595508278E-2</v>
      </c>
      <c r="G571" s="19">
        <v>8.6028443983803132E-2</v>
      </c>
    </row>
    <row r="572" spans="2:7" x14ac:dyDescent="0.3">
      <c r="B572" s="32" t="s">
        <v>194</v>
      </c>
      <c r="C572" s="23">
        <v>0.51176428568364041</v>
      </c>
      <c r="D572" s="19">
        <v>0.29320626762310353</v>
      </c>
      <c r="E572" s="19">
        <v>9.9067902755697081E-3</v>
      </c>
      <c r="F572" s="19">
        <v>4.7513665678627047E-3</v>
      </c>
      <c r="G572" s="19">
        <v>6.097319530225101E-2</v>
      </c>
    </row>
    <row r="573" spans="2:7" x14ac:dyDescent="0.3">
      <c r="B573" s="32" t="s">
        <v>197</v>
      </c>
      <c r="C573" s="23">
        <v>0.48366930309793082</v>
      </c>
      <c r="D573" s="19">
        <v>3.6444517904717418E-3</v>
      </c>
      <c r="E573" s="19">
        <v>4.5060635676412351E-2</v>
      </c>
      <c r="F573" s="19">
        <v>3.0646585961451003E-2</v>
      </c>
      <c r="G573" s="19">
        <v>0.11320225327945049</v>
      </c>
    </row>
    <row r="574" spans="2:7" x14ac:dyDescent="0.3">
      <c r="B574" s="32" t="s">
        <v>200</v>
      </c>
      <c r="C574" s="23">
        <v>0.59027260267187565</v>
      </c>
      <c r="D574" s="19">
        <v>0.24561518010908273</v>
      </c>
      <c r="E574" s="19">
        <v>8.4386968449572816E-2</v>
      </c>
      <c r="F574" s="19">
        <v>5.5701848182916484E-4</v>
      </c>
      <c r="G574" s="19">
        <v>5.0624340233954956E-2</v>
      </c>
    </row>
    <row r="575" spans="2:7" x14ac:dyDescent="0.3">
      <c r="B575" s="32" t="s">
        <v>203</v>
      </c>
      <c r="C575" s="23">
        <v>0.61013035956347761</v>
      </c>
      <c r="D575" s="19">
        <v>0.25623408177809676</v>
      </c>
      <c r="E575" s="19">
        <v>4.4872835774787019E-2</v>
      </c>
      <c r="F575" s="19">
        <v>1.447204437753468E-4</v>
      </c>
      <c r="G575" s="19">
        <v>5.8027153578838288E-2</v>
      </c>
    </row>
    <row r="576" spans="2:7" x14ac:dyDescent="0.3">
      <c r="B576" s="32" t="s">
        <v>206</v>
      </c>
      <c r="C576" s="19">
        <v>0.24125721020037061</v>
      </c>
      <c r="D576" s="19">
        <v>0.14415549903035441</v>
      </c>
      <c r="E576" s="19">
        <v>2.2373296530966763E-3</v>
      </c>
      <c r="F576" s="23">
        <v>0.49196600406444252</v>
      </c>
      <c r="G576" s="19">
        <v>0.10594653282401154</v>
      </c>
    </row>
    <row r="577" spans="2:7" x14ac:dyDescent="0.3">
      <c r="B577" s="32" t="s">
        <v>209</v>
      </c>
      <c r="C577" s="23">
        <v>0.77134384517871868</v>
      </c>
      <c r="D577" s="19">
        <v>3.7368577933614922E-2</v>
      </c>
      <c r="E577" s="19">
        <v>1.991698192730838E-2</v>
      </c>
      <c r="F577" s="19">
        <v>1.2616626309253633E-7</v>
      </c>
      <c r="G577" s="19">
        <v>3.416366906654443E-2</v>
      </c>
    </row>
    <row r="578" spans="2:7" x14ac:dyDescent="0.3">
      <c r="B578" s="32" t="s">
        <v>212</v>
      </c>
      <c r="C578" s="23">
        <v>0.79871482232154156</v>
      </c>
      <c r="D578" s="19">
        <v>9.6081408744018756E-2</v>
      </c>
      <c r="E578" s="19">
        <v>1.5347761113205038E-4</v>
      </c>
      <c r="F578" s="19">
        <v>4.9134936976071002E-3</v>
      </c>
      <c r="G578" s="19">
        <v>1.804255144627465E-3</v>
      </c>
    </row>
    <row r="579" spans="2:7" x14ac:dyDescent="0.3">
      <c r="B579" s="32" t="s">
        <v>215</v>
      </c>
      <c r="C579" s="19">
        <v>1.3851857845007102E-3</v>
      </c>
      <c r="D579" s="19">
        <v>2.027900941068894E-5</v>
      </c>
      <c r="E579" s="23">
        <v>0.44766450842361227</v>
      </c>
      <c r="F579" s="19">
        <v>0.18984591737913359</v>
      </c>
      <c r="G579" s="19">
        <v>0.26518529330163637</v>
      </c>
    </row>
    <row r="580" spans="2:7" x14ac:dyDescent="0.3">
      <c r="B580" s="32" t="s">
        <v>218</v>
      </c>
      <c r="C580" s="19">
        <v>3.9761860785664634E-2</v>
      </c>
      <c r="D580" s="19">
        <v>3.1948025472779585E-4</v>
      </c>
      <c r="E580" s="23">
        <v>0.68489413101670737</v>
      </c>
      <c r="F580" s="19">
        <v>4.6623914631864445E-2</v>
      </c>
      <c r="G580" s="19">
        <v>9.75936103363228E-2</v>
      </c>
    </row>
    <row r="581" spans="2:7" x14ac:dyDescent="0.3">
      <c r="B581" s="32" t="s">
        <v>221</v>
      </c>
      <c r="C581" s="23">
        <v>0.56619654981187439</v>
      </c>
      <c r="D581" s="19">
        <v>0.12640042171115248</v>
      </c>
      <c r="E581" s="19">
        <v>7.26009978603782E-2</v>
      </c>
      <c r="F581" s="19">
        <v>6.5085179910429848E-3</v>
      </c>
      <c r="G581" s="19">
        <v>6.9906564694128648E-2</v>
      </c>
    </row>
    <row r="582" spans="2:7" x14ac:dyDescent="0.3">
      <c r="B582" s="32" t="s">
        <v>224</v>
      </c>
      <c r="C582" s="23">
        <v>0.66919534885583909</v>
      </c>
      <c r="D582" s="19">
        <v>8.530580220780239E-3</v>
      </c>
      <c r="E582" s="19">
        <v>0.21753131005646972</v>
      </c>
      <c r="F582" s="19">
        <v>2.4015855540549295E-3</v>
      </c>
      <c r="G582" s="19">
        <v>8.1596407302991338E-6</v>
      </c>
    </row>
    <row r="583" spans="2:7" x14ac:dyDescent="0.3">
      <c r="B583" s="32" t="s">
        <v>227</v>
      </c>
      <c r="C583" s="23">
        <v>0.47917651815997786</v>
      </c>
      <c r="D583" s="19">
        <v>3.0190414623474499E-3</v>
      </c>
      <c r="E583" s="19">
        <v>0.38722332962809808</v>
      </c>
      <c r="F583" s="19">
        <v>1.7642701614417809E-2</v>
      </c>
      <c r="G583" s="19">
        <v>6.2777664695602697E-3</v>
      </c>
    </row>
    <row r="584" spans="2:7" x14ac:dyDescent="0.3">
      <c r="B584" s="32" t="s">
        <v>230</v>
      </c>
      <c r="C584" s="23">
        <v>0.43154038536602507</v>
      </c>
      <c r="D584" s="19">
        <v>2.0334902295034019E-4</v>
      </c>
      <c r="E584" s="19">
        <v>0.12338939302083024</v>
      </c>
      <c r="F584" s="19">
        <v>2.5709939957630077E-2</v>
      </c>
      <c r="G584" s="19">
        <v>0.20547840807282902</v>
      </c>
    </row>
    <row r="585" spans="2:7" x14ac:dyDescent="0.3">
      <c r="B585" s="32" t="s">
        <v>233</v>
      </c>
      <c r="C585" s="23">
        <v>0.44163967505761431</v>
      </c>
      <c r="D585" s="19">
        <v>8.6280003504863201E-2</v>
      </c>
      <c r="E585" s="19">
        <v>3.2898288889239451E-5</v>
      </c>
      <c r="F585" s="19">
        <v>5.3557410523128332E-2</v>
      </c>
      <c r="G585" s="19">
        <v>0.18818811151996126</v>
      </c>
    </row>
    <row r="586" spans="2:7" x14ac:dyDescent="0.3">
      <c r="B586" s="32" t="s">
        <v>236</v>
      </c>
      <c r="C586" s="23">
        <v>0.61210356906117225</v>
      </c>
      <c r="D586" s="19">
        <v>0.2366264257057516</v>
      </c>
      <c r="E586" s="19">
        <v>5.1993476523286369E-2</v>
      </c>
      <c r="F586" s="19">
        <v>6.5059263255280919E-3</v>
      </c>
      <c r="G586" s="19">
        <v>2.9010190212045248E-2</v>
      </c>
    </row>
    <row r="587" spans="2:7" x14ac:dyDescent="0.3">
      <c r="B587" s="32" t="s">
        <v>239</v>
      </c>
      <c r="C587" s="23">
        <v>0.5473619431093294</v>
      </c>
      <c r="D587" s="19">
        <v>0.2690011079253764</v>
      </c>
      <c r="E587" s="19">
        <v>6.5573286747422965E-2</v>
      </c>
      <c r="F587" s="19">
        <v>4.5469250751543926E-4</v>
      </c>
      <c r="G587" s="19">
        <v>8.5551485834226587E-2</v>
      </c>
    </row>
    <row r="588" spans="2:7" x14ac:dyDescent="0.3">
      <c r="B588" s="32" t="s">
        <v>242</v>
      </c>
      <c r="C588" s="23">
        <v>0.59479344422474234</v>
      </c>
      <c r="D588" s="19">
        <v>0.24497111113820239</v>
      </c>
      <c r="E588" s="19">
        <v>5.0066535706081682E-2</v>
      </c>
      <c r="F588" s="19">
        <v>9.325243530509809E-7</v>
      </c>
      <c r="G588" s="19">
        <v>3.9528079148079855E-2</v>
      </c>
    </row>
    <row r="589" spans="2:7" x14ac:dyDescent="0.3">
      <c r="B589" s="32" t="s">
        <v>245</v>
      </c>
      <c r="C589" s="23">
        <v>0.54879322436275901</v>
      </c>
      <c r="D589" s="19">
        <v>0.26067846351797952</v>
      </c>
      <c r="E589" s="19">
        <v>8.5846680768109085E-2</v>
      </c>
      <c r="F589" s="19">
        <v>1.6903801859093511E-3</v>
      </c>
      <c r="G589" s="19">
        <v>7.8793167843971737E-2</v>
      </c>
    </row>
    <row r="590" spans="2:7" x14ac:dyDescent="0.3">
      <c r="B590" s="32" t="s">
        <v>248</v>
      </c>
      <c r="C590" s="23">
        <v>0.48129502541477764</v>
      </c>
      <c r="D590" s="19">
        <v>0.35200802184453983</v>
      </c>
      <c r="E590" s="19">
        <v>5.9937328590748254E-2</v>
      </c>
      <c r="F590" s="19">
        <v>2.2693211170934951E-4</v>
      </c>
      <c r="G590" s="19">
        <v>7.7735951537729969E-2</v>
      </c>
    </row>
    <row r="591" spans="2:7" x14ac:dyDescent="0.3">
      <c r="B591" s="32" t="s">
        <v>251</v>
      </c>
      <c r="C591" s="23">
        <v>0.59455678600867545</v>
      </c>
      <c r="D591" s="19">
        <v>0.22166258817849499</v>
      </c>
      <c r="E591" s="19">
        <v>7.9204852652620977E-2</v>
      </c>
      <c r="F591" s="19">
        <v>2.6337137274347978E-4</v>
      </c>
      <c r="G591" s="19">
        <v>3.7983302827551996E-2</v>
      </c>
    </row>
    <row r="592" spans="2:7" x14ac:dyDescent="0.3">
      <c r="B592" s="32" t="s">
        <v>254</v>
      </c>
      <c r="C592" s="23">
        <v>0.53989443128383607</v>
      </c>
      <c r="D592" s="19">
        <v>0.27012340657753081</v>
      </c>
      <c r="E592" s="19">
        <v>8.8311116334795853E-2</v>
      </c>
      <c r="F592" s="19">
        <v>1.930445334719917E-3</v>
      </c>
      <c r="G592" s="19">
        <v>7.5299508951525207E-2</v>
      </c>
    </row>
    <row r="593" spans="2:7" x14ac:dyDescent="0.3">
      <c r="B593" s="32" t="s">
        <v>257</v>
      </c>
      <c r="C593" s="23">
        <v>0.48778201823003803</v>
      </c>
      <c r="D593" s="19">
        <v>0.30033266095383365</v>
      </c>
      <c r="E593" s="19">
        <v>9.0308071645788163E-2</v>
      </c>
      <c r="F593" s="19">
        <v>1.5856711688071175E-3</v>
      </c>
      <c r="G593" s="19">
        <v>9.2635449536769846E-2</v>
      </c>
    </row>
    <row r="594" spans="2:7" x14ac:dyDescent="0.3">
      <c r="B594" s="32" t="s">
        <v>260</v>
      </c>
      <c r="C594" s="23">
        <v>0.55495739126706778</v>
      </c>
      <c r="D594" s="19">
        <v>0.25572381963695251</v>
      </c>
      <c r="E594" s="19">
        <v>7.5672561898512861E-2</v>
      </c>
      <c r="F594" s="19">
        <v>1.5095979328478785E-3</v>
      </c>
      <c r="G594" s="19">
        <v>4.0581571390735732E-2</v>
      </c>
    </row>
    <row r="595" spans="2:7" x14ac:dyDescent="0.3">
      <c r="B595" s="32" t="s">
        <v>263</v>
      </c>
      <c r="C595" s="23">
        <v>0.5191474173893722</v>
      </c>
      <c r="D595" s="19">
        <v>0.31251166412312653</v>
      </c>
      <c r="E595" s="19">
        <v>6.1141440272337609E-2</v>
      </c>
      <c r="F595" s="19">
        <v>3.2464053334943532E-4</v>
      </c>
      <c r="G595" s="19">
        <v>7.8265697749252558E-2</v>
      </c>
    </row>
    <row r="596" spans="2:7" x14ac:dyDescent="0.3">
      <c r="B596" s="32" t="s">
        <v>266</v>
      </c>
      <c r="C596" s="23">
        <v>0.4844297577292796</v>
      </c>
      <c r="D596" s="19">
        <v>0.30607289860286946</v>
      </c>
      <c r="E596" s="19">
        <v>9.4758361918271888E-2</v>
      </c>
      <c r="F596" s="19">
        <v>1.7524793762351816E-3</v>
      </c>
      <c r="G596" s="19">
        <v>8.4772809045882219E-2</v>
      </c>
    </row>
    <row r="597" spans="2:7" x14ac:dyDescent="0.3">
      <c r="B597" s="32" t="s">
        <v>269</v>
      </c>
      <c r="C597" s="23">
        <v>0.58316135470564656</v>
      </c>
      <c r="D597" s="19">
        <v>0.28257012601324849</v>
      </c>
      <c r="E597" s="19">
        <v>5.603082759834959E-2</v>
      </c>
      <c r="F597" s="19">
        <v>1.9431996992331902E-4</v>
      </c>
      <c r="G597" s="19">
        <v>5.740124300078045E-2</v>
      </c>
    </row>
    <row r="598" spans="2:7" x14ac:dyDescent="0.3">
      <c r="B598" s="32" t="s">
        <v>272</v>
      </c>
      <c r="C598" s="23">
        <v>0.6720095521835685</v>
      </c>
      <c r="D598" s="19">
        <v>0.20565666667065591</v>
      </c>
      <c r="E598" s="19">
        <v>4.7461389395968494E-2</v>
      </c>
      <c r="F598" s="19">
        <v>2.5975906543496038E-4</v>
      </c>
      <c r="G598" s="19">
        <v>5.3168503101748602E-2</v>
      </c>
    </row>
    <row r="599" spans="2:7" x14ac:dyDescent="0.3">
      <c r="B599" s="32" t="s">
        <v>275</v>
      </c>
      <c r="C599" s="23">
        <v>0.73462939579513176</v>
      </c>
      <c r="D599" s="19">
        <v>2.3423683812720423E-2</v>
      </c>
      <c r="E599" s="19">
        <v>0.11374937724984871</v>
      </c>
      <c r="F599" s="19">
        <v>7.2225712027749822E-3</v>
      </c>
      <c r="G599" s="19">
        <v>5.0239753047311236E-2</v>
      </c>
    </row>
    <row r="600" spans="2:7" x14ac:dyDescent="0.3">
      <c r="B600" s="32" t="s">
        <v>278</v>
      </c>
      <c r="C600" s="23">
        <v>0.81484404363760077</v>
      </c>
      <c r="D600" s="19">
        <v>9.0861438342354064E-2</v>
      </c>
      <c r="E600" s="19">
        <v>2.2465700727905828E-2</v>
      </c>
      <c r="F600" s="19">
        <v>1.8664723103788014E-2</v>
      </c>
      <c r="G600" s="19">
        <v>3.5525188167412763E-2</v>
      </c>
    </row>
    <row r="601" spans="2:7" x14ac:dyDescent="0.3">
      <c r="B601" s="32" t="s">
        <v>281</v>
      </c>
      <c r="C601" s="23">
        <v>0.81333523600006574</v>
      </c>
      <c r="D601" s="19">
        <v>2.1613126310699133E-2</v>
      </c>
      <c r="E601" s="19">
        <v>3.4820506622413788E-2</v>
      </c>
      <c r="F601" s="19">
        <v>3.2455101808794625E-3</v>
      </c>
      <c r="G601" s="19">
        <v>5.7248254856550884E-2</v>
      </c>
    </row>
    <row r="602" spans="2:7" x14ac:dyDescent="0.3">
      <c r="B602" s="32" t="s">
        <v>284</v>
      </c>
      <c r="C602" s="23">
        <v>0.66633434778315703</v>
      </c>
      <c r="D602" s="19">
        <v>4.8846388355198243E-2</v>
      </c>
      <c r="E602" s="19">
        <v>6.7472426830025801E-4</v>
      </c>
      <c r="F602" s="19">
        <v>3.4383973921978173E-2</v>
      </c>
      <c r="G602" s="19">
        <v>7.0312695398654992E-2</v>
      </c>
    </row>
    <row r="603" spans="2:7" x14ac:dyDescent="0.3">
      <c r="B603" s="32" t="s">
        <v>287</v>
      </c>
      <c r="C603" s="23">
        <v>0.82820997263277785</v>
      </c>
      <c r="D603" s="19">
        <v>8.9756732279294496E-2</v>
      </c>
      <c r="E603" s="19">
        <v>3.7206483788422208E-2</v>
      </c>
      <c r="F603" s="19">
        <v>5.2348902205066744E-3</v>
      </c>
      <c r="G603" s="19">
        <v>1.9687442808941365E-2</v>
      </c>
    </row>
    <row r="604" spans="2:7" x14ac:dyDescent="0.3">
      <c r="B604" s="32" t="s">
        <v>290</v>
      </c>
      <c r="C604" s="19">
        <v>2.8295954814665486E-2</v>
      </c>
      <c r="D604" s="19">
        <v>0.15379677614962467</v>
      </c>
      <c r="E604" s="23">
        <v>0.28277827310432746</v>
      </c>
      <c r="F604" s="19">
        <v>0.14546674022116832</v>
      </c>
      <c r="G604" s="19">
        <v>3.8585743699548584E-2</v>
      </c>
    </row>
    <row r="605" spans="2:7" x14ac:dyDescent="0.3">
      <c r="B605" s="32" t="s">
        <v>293</v>
      </c>
      <c r="C605" s="19">
        <v>0.2896437215399747</v>
      </c>
      <c r="D605" s="23">
        <v>0.38102802938773417</v>
      </c>
      <c r="E605" s="19">
        <v>1.6179738392967345E-3</v>
      </c>
      <c r="F605" s="19">
        <v>1.1797455963671166E-2</v>
      </c>
      <c r="G605" s="19">
        <v>0.11666782775986699</v>
      </c>
    </row>
    <row r="606" spans="2:7" x14ac:dyDescent="0.3">
      <c r="B606" s="32" t="s">
        <v>296</v>
      </c>
      <c r="C606" s="19">
        <v>0.19477718306357478</v>
      </c>
      <c r="D606" s="23">
        <v>0.40481700134009552</v>
      </c>
      <c r="E606" s="19">
        <v>3.321506866324641E-2</v>
      </c>
      <c r="F606" s="19">
        <v>3.189857266007879E-2</v>
      </c>
      <c r="G606" s="19">
        <v>3.7676774445288198E-2</v>
      </c>
    </row>
    <row r="607" spans="2:7" x14ac:dyDescent="0.3">
      <c r="B607" s="32" t="s">
        <v>299</v>
      </c>
      <c r="C607" s="19">
        <v>0.14031236734720942</v>
      </c>
      <c r="D607" s="23">
        <v>0.16907281625305548</v>
      </c>
      <c r="E607" s="19">
        <v>1.5343403382188377E-2</v>
      </c>
      <c r="F607" s="19">
        <v>2.5640250674552216E-2</v>
      </c>
      <c r="G607" s="19">
        <v>0.16666842600302703</v>
      </c>
    </row>
    <row r="608" spans="2:7" x14ac:dyDescent="0.3">
      <c r="B608" s="32" t="s">
        <v>302</v>
      </c>
      <c r="C608" s="19">
        <v>0.17189211272366503</v>
      </c>
      <c r="D608" s="19">
        <v>0.18111450018284903</v>
      </c>
      <c r="E608" s="19">
        <v>9.9634114584745814E-3</v>
      </c>
      <c r="F608" s="19">
        <v>1.4262740693825667E-2</v>
      </c>
      <c r="G608" s="23">
        <v>0.19129337050610787</v>
      </c>
    </row>
    <row r="609" spans="2:7" x14ac:dyDescent="0.3">
      <c r="B609" s="32" t="s">
        <v>305</v>
      </c>
      <c r="C609" s="19">
        <v>0.21457412401093259</v>
      </c>
      <c r="D609" s="23">
        <v>0.25719022552225873</v>
      </c>
      <c r="E609" s="19">
        <v>2.2818765430334342E-2</v>
      </c>
      <c r="F609" s="19">
        <v>3.9631065292437886E-2</v>
      </c>
      <c r="G609" s="19">
        <v>0.17796229336923075</v>
      </c>
    </row>
    <row r="610" spans="2:7" x14ac:dyDescent="0.3">
      <c r="B610" s="32" t="s">
        <v>308</v>
      </c>
      <c r="C610" s="19">
        <v>7.0492774719835505E-2</v>
      </c>
      <c r="D610" s="19">
        <v>0.12987317641542753</v>
      </c>
      <c r="E610" s="19">
        <v>5.1105899811227989E-5</v>
      </c>
      <c r="F610" s="19">
        <v>3.0430736504580263E-3</v>
      </c>
      <c r="G610" s="23">
        <v>0.15286878917757618</v>
      </c>
    </row>
    <row r="611" spans="2:7" x14ac:dyDescent="0.3">
      <c r="B611" s="32" t="s">
        <v>311</v>
      </c>
      <c r="C611" s="23">
        <v>0.55918412057326972</v>
      </c>
      <c r="D611" s="19">
        <v>0.32865079989828277</v>
      </c>
      <c r="E611" s="19">
        <v>8.8255308024955802E-3</v>
      </c>
      <c r="F611" s="19">
        <v>2.1100059388639979E-2</v>
      </c>
      <c r="G611" s="19">
        <v>1.0147890238945342E-2</v>
      </c>
    </row>
    <row r="612" spans="2:7" x14ac:dyDescent="0.3">
      <c r="B612" s="32" t="s">
        <v>314</v>
      </c>
      <c r="C612" s="23">
        <v>0.33364782924430247</v>
      </c>
      <c r="D612" s="19">
        <v>0.25502057988492594</v>
      </c>
      <c r="E612" s="19">
        <v>6.0317377229523496E-3</v>
      </c>
      <c r="F612" s="19">
        <v>1.1034847034826988E-3</v>
      </c>
      <c r="G612" s="19">
        <v>6.7411058038182051E-2</v>
      </c>
    </row>
    <row r="613" spans="2:7" x14ac:dyDescent="0.3">
      <c r="B613" s="32" t="s">
        <v>317</v>
      </c>
      <c r="C613" s="23">
        <v>0.37981903330944383</v>
      </c>
      <c r="D613" s="19">
        <v>0.32280580770159489</v>
      </c>
      <c r="E613" s="19">
        <v>1.0318984347020764E-2</v>
      </c>
      <c r="F613" s="19">
        <v>3.6835111566561759E-3</v>
      </c>
      <c r="G613" s="19">
        <v>4.0619262325720759E-2</v>
      </c>
    </row>
    <row r="614" spans="2:7" x14ac:dyDescent="0.3">
      <c r="B614" s="32" t="s">
        <v>320</v>
      </c>
      <c r="C614" s="19">
        <v>0.10296289297777207</v>
      </c>
      <c r="D614" s="23">
        <v>0.40057841563361951</v>
      </c>
      <c r="E614" s="19">
        <v>4.5537920088264293E-3</v>
      </c>
      <c r="F614" s="19">
        <v>5.7839608663582277E-3</v>
      </c>
      <c r="G614" s="19">
        <v>0.11205960198272098</v>
      </c>
    </row>
    <row r="615" spans="2:7" ht="15" thickBot="1" x14ac:dyDescent="0.35">
      <c r="B615" s="42" t="s">
        <v>323</v>
      </c>
      <c r="C615" s="20">
        <v>0.2354534003548516</v>
      </c>
      <c r="D615" s="25">
        <v>0.35747166813618686</v>
      </c>
      <c r="E615" s="20">
        <v>6.059926914081884E-2</v>
      </c>
      <c r="F615" s="20">
        <v>6.1507952403407742E-2</v>
      </c>
      <c r="G615" s="20">
        <v>0.13109003900438396</v>
      </c>
    </row>
    <row r="616" spans="2:7" x14ac:dyDescent="0.3">
      <c r="B616" s="27" t="s">
        <v>384</v>
      </c>
    </row>
  </sheetData>
  <mergeCells count="1">
    <mergeCell ref="B1:L2"/>
  </mergeCells>
  <pageMargins left="0.7" right="0.7" top="0.75" bottom="0.75" header="0.3" footer="0.3"/>
  <pageSetup orientation="portrait" horizontalDpi="90" verticalDpi="9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D220842">
              <controlPr defaultSize="0" autoFill="0" autoPict="0" macro="[0]!GoToResultsNew0504202413472341">
                <anchor moveWithCells="1">
                  <from>
                    <xdr:col>1</xdr:col>
                    <xdr:colOff>0</xdr:colOff>
                    <xdr:row>9</xdr:row>
                    <xdr:rowOff>472440</xdr:rowOff>
                  </from>
                  <to>
                    <xdr:col>5</xdr:col>
                    <xdr:colOff>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C0988-92CA-4BDF-897F-C6BB3A4D48F9}">
  <sheetPr codeName="XLSTAT_20240405_134419_1_HID3"/>
  <dimension ref="A1:D99"/>
  <sheetViews>
    <sheetView workbookViewId="0">
      <selection activeCell="C1" sqref="C1"/>
    </sheetView>
  </sheetViews>
  <sheetFormatPr defaultRowHeight="14.4" x14ac:dyDescent="0.3"/>
  <sheetData>
    <row r="1" spans="1:4" x14ac:dyDescent="0.3">
      <c r="A1">
        <v>4.0424277629776446</v>
      </c>
      <c r="B1">
        <v>11.304022354605477</v>
      </c>
      <c r="C1">
        <v>-2.770010466788567</v>
      </c>
      <c r="D1">
        <v>5.1631674639664942</v>
      </c>
    </row>
    <row r="2" spans="1:4" x14ac:dyDescent="0.3">
      <c r="A2">
        <v>8.2804797023745103</v>
      </c>
      <c r="B2">
        <v>4.6681985330133484</v>
      </c>
      <c r="C2">
        <v>-2.6693152229172492</v>
      </c>
      <c r="D2">
        <v>5.2121028939294094</v>
      </c>
    </row>
    <row r="3" spans="1:4" x14ac:dyDescent="0.3">
      <c r="A3">
        <v>0.40564311473886255</v>
      </c>
      <c r="B3">
        <v>13.181038027634242</v>
      </c>
      <c r="C3">
        <v>-2.9035495123890622</v>
      </c>
      <c r="D3">
        <v>6.6204529506929806</v>
      </c>
    </row>
    <row r="4" spans="1:4" x14ac:dyDescent="0.3">
      <c r="A4">
        <v>4.6147574774866902</v>
      </c>
      <c r="B4">
        <v>-6.0001076852135604</v>
      </c>
      <c r="C4">
        <v>1.734422552867533</v>
      </c>
      <c r="D4">
        <v>1.0655772934224625</v>
      </c>
    </row>
    <row r="5" spans="1:4" x14ac:dyDescent="0.3">
      <c r="A5">
        <v>3.4004130382262021</v>
      </c>
      <c r="B5">
        <v>-5.3625331817229069</v>
      </c>
      <c r="C5">
        <v>1.243505182836913</v>
      </c>
      <c r="D5">
        <v>2.0481183279592527</v>
      </c>
    </row>
    <row r="6" spans="1:4" x14ac:dyDescent="0.3">
      <c r="A6">
        <v>-1.4023424683928845</v>
      </c>
      <c r="B6">
        <v>-3.8697161937709148</v>
      </c>
      <c r="C6">
        <v>1.9941909850411978</v>
      </c>
      <c r="D6">
        <v>0.88145056911490305</v>
      </c>
    </row>
    <row r="7" spans="1:4" x14ac:dyDescent="0.3">
      <c r="A7">
        <v>2.3330751094261695</v>
      </c>
      <c r="B7">
        <v>10.983906524128953</v>
      </c>
      <c r="C7">
        <v>1.9509882963164644</v>
      </c>
      <c r="D7">
        <v>0.90665248750559024</v>
      </c>
    </row>
    <row r="8" spans="1:4" x14ac:dyDescent="0.3">
      <c r="A8">
        <v>8.0205235334520353</v>
      </c>
      <c r="B8">
        <v>-4.0757282938571029</v>
      </c>
      <c r="C8">
        <v>1.3737116003663403</v>
      </c>
      <c r="D8">
        <v>1.9858608101360067</v>
      </c>
    </row>
    <row r="9" spans="1:4" x14ac:dyDescent="0.3">
      <c r="A9">
        <v>8.779755037474434</v>
      </c>
      <c r="B9">
        <v>5.3371991089944445E-3</v>
      </c>
      <c r="C9">
        <v>1.785667254953637</v>
      </c>
      <c r="D9">
        <v>2.5250301818908549</v>
      </c>
    </row>
    <row r="10" spans="1:4" x14ac:dyDescent="0.3">
      <c r="A10">
        <v>4.7295141533210527</v>
      </c>
      <c r="B10">
        <v>-6.6257385644114279</v>
      </c>
      <c r="C10">
        <v>1.0609851364915723</v>
      </c>
      <c r="D10">
        <v>1.5386720705350101</v>
      </c>
    </row>
    <row r="11" spans="1:4" x14ac:dyDescent="0.3">
      <c r="A11">
        <v>-1.8733127184478069</v>
      </c>
      <c r="B11">
        <v>8.5984616257777571</v>
      </c>
      <c r="C11">
        <v>1.529818828046648</v>
      </c>
      <c r="D11">
        <v>2.3354616851339181</v>
      </c>
    </row>
    <row r="12" spans="1:4" x14ac:dyDescent="0.3">
      <c r="A12">
        <v>6.5385793093642448</v>
      </c>
      <c r="B12">
        <v>0.28863366840348431</v>
      </c>
      <c r="C12">
        <v>-1.7807359408741856</v>
      </c>
      <c r="D12">
        <v>-0.97937721050555293</v>
      </c>
    </row>
    <row r="13" spans="1:4" x14ac:dyDescent="0.3">
      <c r="A13">
        <v>4.840118538921641</v>
      </c>
      <c r="B13">
        <v>-5.3916001445134656</v>
      </c>
      <c r="C13">
        <v>-1.6946330745298221</v>
      </c>
      <c r="D13">
        <v>-1.4918653038564511</v>
      </c>
    </row>
    <row r="14" spans="1:4" x14ac:dyDescent="0.3">
      <c r="A14">
        <v>8.683645549781394</v>
      </c>
      <c r="B14">
        <v>-2.8599852219171402</v>
      </c>
      <c r="C14">
        <v>-1.7342345383180744</v>
      </c>
      <c r="D14">
        <v>-1.2453165293960793</v>
      </c>
    </row>
    <row r="15" spans="1:4" x14ac:dyDescent="0.3">
      <c r="A15">
        <v>7.5947245601956643</v>
      </c>
      <c r="B15">
        <v>-6.5253423598872766</v>
      </c>
      <c r="C15">
        <v>-1.5659010878296569</v>
      </c>
      <c r="D15">
        <v>-0.99442547201084353</v>
      </c>
    </row>
    <row r="16" spans="1:4" x14ac:dyDescent="0.3">
      <c r="A16">
        <v>8.1279567692279073</v>
      </c>
      <c r="B16">
        <v>4.2265622174249033</v>
      </c>
      <c r="C16">
        <v>-1.734358629325321</v>
      </c>
      <c r="D16">
        <v>-1.1856353886957498</v>
      </c>
    </row>
    <row r="17" spans="1:4" x14ac:dyDescent="0.3">
      <c r="A17">
        <v>3.4547204351077538</v>
      </c>
      <c r="B17">
        <v>-5.2032116178660708</v>
      </c>
      <c r="C17">
        <v>-1.7657616908505962</v>
      </c>
      <c r="D17">
        <v>1.2914425077294585</v>
      </c>
    </row>
    <row r="18" spans="1:4" x14ac:dyDescent="0.3">
      <c r="A18">
        <v>4.4023672297728744</v>
      </c>
      <c r="B18">
        <v>5.0921614789822014</v>
      </c>
      <c r="C18">
        <v>1.872999920848305</v>
      </c>
      <c r="D18">
        <v>1.9218402591999519</v>
      </c>
    </row>
    <row r="19" spans="1:4" x14ac:dyDescent="0.3">
      <c r="A19">
        <v>8.8554281599103462</v>
      </c>
      <c r="B19">
        <v>-3.6951578682636068</v>
      </c>
      <c r="C19">
        <v>3.1990037565171452</v>
      </c>
      <c r="D19">
        <v>-0.25146525038021167</v>
      </c>
    </row>
    <row r="20" spans="1:4" x14ac:dyDescent="0.3">
      <c r="A20">
        <v>4.9752689474146246E-2</v>
      </c>
      <c r="B20">
        <v>-0.38458850153538959</v>
      </c>
      <c r="C20">
        <v>0.87280074351675396</v>
      </c>
      <c r="D20">
        <v>1.9822948932692444</v>
      </c>
    </row>
    <row r="21" spans="1:4" x14ac:dyDescent="0.3">
      <c r="A21">
        <v>8.5437284604588957</v>
      </c>
      <c r="B21">
        <v>3.2015084271958236</v>
      </c>
      <c r="C21">
        <v>4.4391324470032814</v>
      </c>
      <c r="D21">
        <v>-0.82222849977664159</v>
      </c>
    </row>
    <row r="22" spans="1:4" x14ac:dyDescent="0.3">
      <c r="A22">
        <v>7.9435281089131315</v>
      </c>
      <c r="B22">
        <v>4.1609867713480906</v>
      </c>
      <c r="C22">
        <v>1.7370561389722343</v>
      </c>
      <c r="D22">
        <v>1.6079030601955093</v>
      </c>
    </row>
    <row r="23" spans="1:4" x14ac:dyDescent="0.3">
      <c r="A23">
        <v>8.2025948338189885</v>
      </c>
      <c r="B23">
        <v>4.5598532499255811</v>
      </c>
      <c r="C23">
        <v>2.1856132172238789</v>
      </c>
      <c r="D23">
        <v>2.2494045071718975</v>
      </c>
    </row>
    <row r="24" spans="1:4" x14ac:dyDescent="0.3">
      <c r="C24">
        <v>1.4955331233917639</v>
      </c>
      <c r="D24">
        <v>1.3766225668340182</v>
      </c>
    </row>
    <row r="25" spans="1:4" x14ac:dyDescent="0.3">
      <c r="C25">
        <v>1.4788644700082372</v>
      </c>
      <c r="D25">
        <v>2.1187926480743546</v>
      </c>
    </row>
    <row r="26" spans="1:4" x14ac:dyDescent="0.3">
      <c r="C26">
        <v>0.96243773729951776</v>
      </c>
      <c r="D26">
        <v>1.4224695930286984</v>
      </c>
    </row>
    <row r="27" spans="1:4" x14ac:dyDescent="0.3">
      <c r="C27">
        <v>0.3941099940108459</v>
      </c>
      <c r="D27">
        <v>1.3502756144093266</v>
      </c>
    </row>
    <row r="28" spans="1:4" x14ac:dyDescent="0.3">
      <c r="C28">
        <v>0.75910221262003452</v>
      </c>
      <c r="D28">
        <v>0.88598237228904364</v>
      </c>
    </row>
    <row r="29" spans="1:4" x14ac:dyDescent="0.3">
      <c r="C29">
        <v>2.4761855084595124</v>
      </c>
      <c r="D29">
        <v>1.5623038367863726</v>
      </c>
    </row>
    <row r="30" spans="1:4" x14ac:dyDescent="0.3">
      <c r="C30">
        <v>1.2543099515600422</v>
      </c>
      <c r="D30">
        <v>2.104051305286804</v>
      </c>
    </row>
    <row r="31" spans="1:4" x14ac:dyDescent="0.3">
      <c r="C31">
        <v>-1.7150662137549815</v>
      </c>
      <c r="D31">
        <v>0.43420761487781961</v>
      </c>
    </row>
    <row r="32" spans="1:4" x14ac:dyDescent="0.3">
      <c r="C32">
        <v>2.9130453844624333</v>
      </c>
      <c r="D32">
        <v>2.6518994245559928</v>
      </c>
    </row>
    <row r="33" spans="3:4" x14ac:dyDescent="0.3">
      <c r="C33">
        <v>3.0147542680708379</v>
      </c>
      <c r="D33">
        <v>2.4196732994260901</v>
      </c>
    </row>
    <row r="34" spans="3:4" x14ac:dyDescent="0.3">
      <c r="C34">
        <v>1.0034163067494519</v>
      </c>
      <c r="D34">
        <v>2.0720098993317073</v>
      </c>
    </row>
    <row r="35" spans="3:4" x14ac:dyDescent="0.3">
      <c r="C35">
        <v>1.540949478409954</v>
      </c>
      <c r="D35">
        <v>1.9467350203041198</v>
      </c>
    </row>
    <row r="36" spans="3:4" x14ac:dyDescent="0.3">
      <c r="C36">
        <v>-1.1193755027885457</v>
      </c>
      <c r="D36">
        <v>0.15169975405413774</v>
      </c>
    </row>
    <row r="37" spans="3:4" x14ac:dyDescent="0.3">
      <c r="C37">
        <v>-0.87743306801363308</v>
      </c>
      <c r="D37">
        <v>-4.432142326262585E-2</v>
      </c>
    </row>
    <row r="38" spans="3:4" x14ac:dyDescent="0.3">
      <c r="C38">
        <v>2.3927991450639805</v>
      </c>
      <c r="D38">
        <v>1.9924197442036224</v>
      </c>
    </row>
    <row r="39" spans="3:4" x14ac:dyDescent="0.3">
      <c r="C39">
        <v>2.0922384811666026</v>
      </c>
      <c r="D39">
        <v>1.4615833679551946</v>
      </c>
    </row>
    <row r="40" spans="3:4" x14ac:dyDescent="0.3">
      <c r="C40">
        <v>2.6829535524811039</v>
      </c>
      <c r="D40">
        <v>1.8423734306664434</v>
      </c>
    </row>
    <row r="41" spans="3:4" x14ac:dyDescent="0.3">
      <c r="C41">
        <v>1.6669547667754046</v>
      </c>
      <c r="D41">
        <v>1.5495380927565481</v>
      </c>
    </row>
    <row r="42" spans="3:4" x14ac:dyDescent="0.3">
      <c r="C42">
        <v>1.7173372361938557</v>
      </c>
      <c r="D42">
        <v>2.746182663788443</v>
      </c>
    </row>
    <row r="43" spans="3:4" x14ac:dyDescent="0.3">
      <c r="C43">
        <v>1.40573157191256</v>
      </c>
      <c r="D43">
        <v>1.673498237868537</v>
      </c>
    </row>
    <row r="44" spans="3:4" x14ac:dyDescent="0.3">
      <c r="C44">
        <v>1.6575182368052235</v>
      </c>
      <c r="D44">
        <v>2.1767550935826003</v>
      </c>
    </row>
    <row r="45" spans="3:4" x14ac:dyDescent="0.3">
      <c r="C45">
        <v>1.4599321851782419</v>
      </c>
      <c r="D45">
        <v>0.92212358974014785</v>
      </c>
    </row>
    <row r="46" spans="3:4" x14ac:dyDescent="0.3">
      <c r="C46">
        <v>1.1212470077135859</v>
      </c>
      <c r="D46">
        <v>1.3548390407530473</v>
      </c>
    </row>
    <row r="47" spans="3:4" x14ac:dyDescent="0.3">
      <c r="C47">
        <v>1.7918784720490042</v>
      </c>
      <c r="D47">
        <v>1.7698862356276033</v>
      </c>
    </row>
    <row r="48" spans="3:4" x14ac:dyDescent="0.3">
      <c r="C48">
        <v>1.2219170028170436</v>
      </c>
      <c r="D48">
        <v>0.78966007736569332</v>
      </c>
    </row>
    <row r="49" spans="3:4" x14ac:dyDescent="0.3">
      <c r="C49">
        <v>-2.3397705920288683</v>
      </c>
      <c r="D49">
        <v>-0.81591374113327919</v>
      </c>
    </row>
    <row r="50" spans="3:4" x14ac:dyDescent="0.3">
      <c r="C50">
        <v>-2.5304567012201291</v>
      </c>
      <c r="D50">
        <v>-0.15619700462512098</v>
      </c>
    </row>
    <row r="51" spans="3:4" x14ac:dyDescent="0.3">
      <c r="C51">
        <v>-2.6048471641057902</v>
      </c>
      <c r="D51">
        <v>0.84971362903066938</v>
      </c>
    </row>
    <row r="52" spans="3:4" x14ac:dyDescent="0.3">
      <c r="C52">
        <v>-2.561777655912429</v>
      </c>
      <c r="D52">
        <v>1.5562762513242896</v>
      </c>
    </row>
    <row r="53" spans="3:4" x14ac:dyDescent="0.3">
      <c r="C53">
        <v>-2.3049662356980609</v>
      </c>
      <c r="D53">
        <v>6.9710887353717263E-2</v>
      </c>
    </row>
    <row r="54" spans="3:4" x14ac:dyDescent="0.3">
      <c r="C54">
        <v>-2.3069441756775242</v>
      </c>
      <c r="D54">
        <v>-0.68924902270318267</v>
      </c>
    </row>
    <row r="55" spans="3:4" x14ac:dyDescent="0.3">
      <c r="C55">
        <v>-2.0718546908689954</v>
      </c>
      <c r="D55">
        <v>-0.17208551279584638</v>
      </c>
    </row>
    <row r="56" spans="3:4" x14ac:dyDescent="0.3">
      <c r="C56">
        <v>-1.8148943511814728</v>
      </c>
      <c r="D56">
        <v>-1.3737350729358524</v>
      </c>
    </row>
    <row r="57" spans="3:4" x14ac:dyDescent="0.3">
      <c r="C57">
        <v>-2.4014342563981042</v>
      </c>
      <c r="D57">
        <v>-0.20845510909858794</v>
      </c>
    </row>
    <row r="58" spans="3:4" x14ac:dyDescent="0.3">
      <c r="C58">
        <v>-2.4020792254855814</v>
      </c>
      <c r="D58">
        <v>-1.5494894247042994</v>
      </c>
    </row>
    <row r="59" spans="3:4" x14ac:dyDescent="0.3">
      <c r="C59">
        <v>-2.3767343627227953</v>
      </c>
      <c r="D59">
        <v>-1.5402377906425269</v>
      </c>
    </row>
    <row r="60" spans="3:4" x14ac:dyDescent="0.3">
      <c r="C60">
        <v>7.5240689164632482</v>
      </c>
      <c r="D60">
        <v>-5.8160511989105732</v>
      </c>
    </row>
    <row r="61" spans="3:4" x14ac:dyDescent="0.3">
      <c r="C61">
        <v>-3.3640780446396756</v>
      </c>
      <c r="D61">
        <v>-0.74044932046244394</v>
      </c>
    </row>
    <row r="62" spans="3:4" x14ac:dyDescent="0.3">
      <c r="C62">
        <v>-3.3065259972987615</v>
      </c>
      <c r="D62">
        <v>-1.146821300383426</v>
      </c>
    </row>
    <row r="63" spans="3:4" x14ac:dyDescent="0.3">
      <c r="C63">
        <v>-0.34380069896122684</v>
      </c>
      <c r="D63">
        <v>4.1598350578037881E-2</v>
      </c>
    </row>
    <row r="64" spans="3:4" x14ac:dyDescent="0.3">
      <c r="C64">
        <v>-1.777010267056649</v>
      </c>
      <c r="D64">
        <v>-0.15928636364245496</v>
      </c>
    </row>
    <row r="65" spans="3:4" x14ac:dyDescent="0.3">
      <c r="C65">
        <v>-2.1476648216577292</v>
      </c>
      <c r="D65">
        <v>-1.0147455504863447</v>
      </c>
    </row>
    <row r="66" spans="3:4" x14ac:dyDescent="0.3">
      <c r="C66">
        <v>-3.1451568572930326</v>
      </c>
      <c r="D66">
        <v>-0.35510365182273163</v>
      </c>
    </row>
    <row r="67" spans="3:4" x14ac:dyDescent="0.3">
      <c r="C67">
        <v>-2.8586096892316029</v>
      </c>
      <c r="D67">
        <v>-0.2269037306494093</v>
      </c>
    </row>
    <row r="68" spans="3:4" x14ac:dyDescent="0.3">
      <c r="C68">
        <v>-2.6714218443740192</v>
      </c>
      <c r="D68">
        <v>-5.7989958159435168E-2</v>
      </c>
    </row>
    <row r="69" spans="3:4" x14ac:dyDescent="0.3">
      <c r="C69">
        <v>-2.6547786995833613</v>
      </c>
      <c r="D69">
        <v>-1.1734088534012588</v>
      </c>
    </row>
    <row r="70" spans="3:4" x14ac:dyDescent="0.3">
      <c r="C70">
        <v>-2.3176880833561926</v>
      </c>
      <c r="D70">
        <v>-1.4410337543955947</v>
      </c>
    </row>
    <row r="71" spans="3:4" x14ac:dyDescent="0.3">
      <c r="C71">
        <v>-2.2685186614853445</v>
      </c>
      <c r="D71">
        <v>-1.5903111039999478</v>
      </c>
    </row>
    <row r="72" spans="3:4" x14ac:dyDescent="0.3">
      <c r="C72">
        <v>-2.3043388456406961</v>
      </c>
      <c r="D72">
        <v>-1.4788383028064462</v>
      </c>
    </row>
    <row r="73" spans="3:4" x14ac:dyDescent="0.3">
      <c r="C73">
        <v>-2.2391344693294459</v>
      </c>
      <c r="D73">
        <v>-1.5432219129707982</v>
      </c>
    </row>
    <row r="74" spans="3:4" x14ac:dyDescent="0.3">
      <c r="C74">
        <v>-2.0306672901917668</v>
      </c>
      <c r="D74">
        <v>-1.7366382696066451</v>
      </c>
    </row>
    <row r="75" spans="3:4" x14ac:dyDescent="0.3">
      <c r="C75">
        <v>-2.3648240272683645</v>
      </c>
      <c r="D75">
        <v>-1.443937378960005</v>
      </c>
    </row>
    <row r="76" spans="3:4" x14ac:dyDescent="0.3">
      <c r="C76">
        <v>-2.240868276307542</v>
      </c>
      <c r="D76">
        <v>-1.5850501713678784</v>
      </c>
    </row>
    <row r="77" spans="3:4" x14ac:dyDescent="0.3">
      <c r="C77">
        <v>-2.0457746177404359</v>
      </c>
      <c r="D77">
        <v>-1.6052629227800119</v>
      </c>
    </row>
    <row r="78" spans="3:4" x14ac:dyDescent="0.3">
      <c r="C78">
        <v>-2.285625260414323</v>
      </c>
      <c r="D78">
        <v>-1.551532218919498</v>
      </c>
    </row>
    <row r="79" spans="3:4" x14ac:dyDescent="0.3">
      <c r="C79">
        <v>-2.1674411979782686</v>
      </c>
      <c r="D79">
        <v>-1.6816479834880498</v>
      </c>
    </row>
    <row r="80" spans="3:4" x14ac:dyDescent="0.3">
      <c r="C80">
        <v>-2.0581921786409358</v>
      </c>
      <c r="D80">
        <v>-1.6359987031805903</v>
      </c>
    </row>
    <row r="81" spans="3:4" x14ac:dyDescent="0.3">
      <c r="C81">
        <v>-2.4258296736597411</v>
      </c>
      <c r="D81">
        <v>-1.6886088409921511</v>
      </c>
    </row>
    <row r="82" spans="3:4" x14ac:dyDescent="0.3">
      <c r="C82">
        <v>-2.5730648906427751</v>
      </c>
      <c r="D82">
        <v>-1.423424419063537</v>
      </c>
    </row>
    <row r="83" spans="3:4" x14ac:dyDescent="0.3">
      <c r="C83">
        <v>7.914107185464629</v>
      </c>
      <c r="D83">
        <v>-1.4131731430312768</v>
      </c>
    </row>
    <row r="84" spans="3:4" x14ac:dyDescent="0.3">
      <c r="C84">
        <v>10.635532765419544</v>
      </c>
      <c r="D84">
        <v>-3.5514998933341859</v>
      </c>
    </row>
    <row r="85" spans="3:4" x14ac:dyDescent="0.3">
      <c r="C85">
        <v>11.069285199887933</v>
      </c>
      <c r="D85">
        <v>-1.8044447091168139</v>
      </c>
    </row>
    <row r="86" spans="3:4" x14ac:dyDescent="0.3">
      <c r="C86">
        <v>7.7336959006770796</v>
      </c>
      <c r="D86">
        <v>-2.0939061850961931</v>
      </c>
    </row>
    <row r="87" spans="3:4" x14ac:dyDescent="0.3">
      <c r="C87">
        <v>9.9952971732000435</v>
      </c>
      <c r="D87">
        <v>-3.2904780610190589</v>
      </c>
    </row>
    <row r="88" spans="3:4" x14ac:dyDescent="0.3">
      <c r="C88">
        <v>0.90196589734951338</v>
      </c>
      <c r="D88">
        <v>-2.1028173751790296</v>
      </c>
    </row>
    <row r="89" spans="3:4" x14ac:dyDescent="0.3">
      <c r="C89">
        <v>-1.1608989891600654</v>
      </c>
      <c r="D89">
        <v>-1.3314989732711657</v>
      </c>
    </row>
    <row r="90" spans="3:4" x14ac:dyDescent="0.3">
      <c r="C90">
        <v>-1.0045475316315069</v>
      </c>
      <c r="D90">
        <v>-1.4482076001164463</v>
      </c>
    </row>
    <row r="91" spans="3:4" x14ac:dyDescent="0.3">
      <c r="C91">
        <v>-2.1848430636163205</v>
      </c>
      <c r="D91">
        <v>-2.3983312404686314</v>
      </c>
    </row>
    <row r="92" spans="3:4" x14ac:dyDescent="0.3">
      <c r="C92">
        <v>-2.1732171510750566</v>
      </c>
      <c r="D92">
        <v>-2.2307544084699158</v>
      </c>
    </row>
    <row r="93" spans="3:4" x14ac:dyDescent="0.3">
      <c r="C93">
        <v>-2.0200990623186605</v>
      </c>
      <c r="D93">
        <v>-2.211623635530914</v>
      </c>
    </row>
    <row r="94" spans="3:4" x14ac:dyDescent="0.3">
      <c r="C94">
        <v>-1.8179347276139031</v>
      </c>
      <c r="D94">
        <v>-2.4675485962730557</v>
      </c>
    </row>
    <row r="95" spans="3:4" x14ac:dyDescent="0.3">
      <c r="C95">
        <v>-2.2309022290824885</v>
      </c>
      <c r="D95">
        <v>-1.7102928070770587</v>
      </c>
    </row>
    <row r="96" spans="3:4" x14ac:dyDescent="0.3">
      <c r="C96">
        <v>-2.4873901641340188</v>
      </c>
      <c r="D96">
        <v>-2.1746400160910189</v>
      </c>
    </row>
    <row r="97" spans="3:4" x14ac:dyDescent="0.3">
      <c r="C97">
        <v>-1.8251221594038327</v>
      </c>
      <c r="D97">
        <v>-1.6825742794333158</v>
      </c>
    </row>
    <row r="98" spans="3:4" x14ac:dyDescent="0.3">
      <c r="C98">
        <v>-1.0198683936810176</v>
      </c>
      <c r="D98">
        <v>-2.0116273744640742</v>
      </c>
    </row>
    <row r="99" spans="3:4" x14ac:dyDescent="0.3">
      <c r="C99">
        <v>-1.6950929685149521</v>
      </c>
      <c r="D99">
        <v>-2.0886316387618087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194F3-7C13-426D-B150-77F44D13241F}">
  <sheetPr codeName="XLSTAT_20240405_134419_1_HID2"/>
  <dimension ref="A1:B99"/>
  <sheetViews>
    <sheetView workbookViewId="0"/>
  </sheetViews>
  <sheetFormatPr defaultRowHeight="14.4" x14ac:dyDescent="0.3"/>
  <sheetData>
    <row r="1" spans="1:2" x14ac:dyDescent="0.3">
      <c r="A1">
        <v>-2.770010466788567</v>
      </c>
      <c r="B1">
        <v>5.1631674639664942</v>
      </c>
    </row>
    <row r="2" spans="1:2" x14ac:dyDescent="0.3">
      <c r="A2">
        <v>-2.6693152229172492</v>
      </c>
      <c r="B2">
        <v>5.2121028939294094</v>
      </c>
    </row>
    <row r="3" spans="1:2" x14ac:dyDescent="0.3">
      <c r="A3">
        <v>-2.9035495123890622</v>
      </c>
      <c r="B3">
        <v>6.6204529506929806</v>
      </c>
    </row>
    <row r="4" spans="1:2" x14ac:dyDescent="0.3">
      <c r="A4">
        <v>1.734422552867533</v>
      </c>
      <c r="B4">
        <v>1.0655772934224625</v>
      </c>
    </row>
    <row r="5" spans="1:2" x14ac:dyDescent="0.3">
      <c r="A5">
        <v>1.243505182836913</v>
      </c>
      <c r="B5">
        <v>2.0481183279592527</v>
      </c>
    </row>
    <row r="6" spans="1:2" x14ac:dyDescent="0.3">
      <c r="A6">
        <v>1.9941909850411978</v>
      </c>
      <c r="B6">
        <v>0.88145056911490305</v>
      </c>
    </row>
    <row r="7" spans="1:2" x14ac:dyDescent="0.3">
      <c r="A7">
        <v>1.9509882963164644</v>
      </c>
      <c r="B7">
        <v>0.90665248750559024</v>
      </c>
    </row>
    <row r="8" spans="1:2" x14ac:dyDescent="0.3">
      <c r="A8">
        <v>1.3737116003663403</v>
      </c>
      <c r="B8">
        <v>1.9858608101360067</v>
      </c>
    </row>
    <row r="9" spans="1:2" x14ac:dyDescent="0.3">
      <c r="A9">
        <v>1.785667254953637</v>
      </c>
      <c r="B9">
        <v>2.5250301818908549</v>
      </c>
    </row>
    <row r="10" spans="1:2" x14ac:dyDescent="0.3">
      <c r="A10">
        <v>1.0609851364915723</v>
      </c>
      <c r="B10">
        <v>1.5386720705350101</v>
      </c>
    </row>
    <row r="11" spans="1:2" x14ac:dyDescent="0.3">
      <c r="A11">
        <v>1.529818828046648</v>
      </c>
      <c r="B11">
        <v>2.3354616851339181</v>
      </c>
    </row>
    <row r="12" spans="1:2" x14ac:dyDescent="0.3">
      <c r="A12">
        <v>-1.7807359408741856</v>
      </c>
      <c r="B12">
        <v>-0.97937721050555293</v>
      </c>
    </row>
    <row r="13" spans="1:2" x14ac:dyDescent="0.3">
      <c r="A13">
        <v>-1.6946330745298221</v>
      </c>
      <c r="B13">
        <v>-1.4918653038564511</v>
      </c>
    </row>
    <row r="14" spans="1:2" x14ac:dyDescent="0.3">
      <c r="A14">
        <v>-1.7342345383180744</v>
      </c>
      <c r="B14">
        <v>-1.2453165293960793</v>
      </c>
    </row>
    <row r="15" spans="1:2" x14ac:dyDescent="0.3">
      <c r="A15">
        <v>-1.5659010878296569</v>
      </c>
      <c r="B15">
        <v>-0.99442547201084353</v>
      </c>
    </row>
    <row r="16" spans="1:2" x14ac:dyDescent="0.3">
      <c r="A16">
        <v>-1.734358629325321</v>
      </c>
      <c r="B16">
        <v>-1.1856353886957498</v>
      </c>
    </row>
    <row r="17" spans="1:2" x14ac:dyDescent="0.3">
      <c r="A17">
        <v>-1.7657616908505962</v>
      </c>
      <c r="B17">
        <v>1.2914425077294585</v>
      </c>
    </row>
    <row r="18" spans="1:2" x14ac:dyDescent="0.3">
      <c r="A18">
        <v>1.872999920848305</v>
      </c>
      <c r="B18">
        <v>1.9218402591999519</v>
      </c>
    </row>
    <row r="19" spans="1:2" x14ac:dyDescent="0.3">
      <c r="A19">
        <v>3.1990037565171452</v>
      </c>
      <c r="B19">
        <v>-0.25146525038021167</v>
      </c>
    </row>
    <row r="20" spans="1:2" x14ac:dyDescent="0.3">
      <c r="A20">
        <v>0.87280074351675396</v>
      </c>
      <c r="B20">
        <v>1.9822948932692444</v>
      </c>
    </row>
    <row r="21" spans="1:2" x14ac:dyDescent="0.3">
      <c r="A21">
        <v>4.4391324470032814</v>
      </c>
      <c r="B21">
        <v>-0.82222849977664159</v>
      </c>
    </row>
    <row r="22" spans="1:2" x14ac:dyDescent="0.3">
      <c r="A22">
        <v>1.7370561389722343</v>
      </c>
      <c r="B22">
        <v>1.6079030601955093</v>
      </c>
    </row>
    <row r="23" spans="1:2" x14ac:dyDescent="0.3">
      <c r="A23">
        <v>2.1856132172238789</v>
      </c>
      <c r="B23">
        <v>2.2494045071718975</v>
      </c>
    </row>
    <row r="24" spans="1:2" x14ac:dyDescent="0.3">
      <c r="A24">
        <v>1.4955331233917639</v>
      </c>
      <c r="B24">
        <v>1.3766225668340182</v>
      </c>
    </row>
    <row r="25" spans="1:2" x14ac:dyDescent="0.3">
      <c r="A25">
        <v>1.4788644700082372</v>
      </c>
      <c r="B25">
        <v>2.1187926480743546</v>
      </c>
    </row>
    <row r="26" spans="1:2" x14ac:dyDescent="0.3">
      <c r="A26">
        <v>0.96243773729951776</v>
      </c>
      <c r="B26">
        <v>1.4224695930286984</v>
      </c>
    </row>
    <row r="27" spans="1:2" x14ac:dyDescent="0.3">
      <c r="A27">
        <v>0.3941099940108459</v>
      </c>
      <c r="B27">
        <v>1.3502756144093266</v>
      </c>
    </row>
    <row r="28" spans="1:2" x14ac:dyDescent="0.3">
      <c r="A28">
        <v>0.75910221262003452</v>
      </c>
      <c r="B28">
        <v>0.88598237228904364</v>
      </c>
    </row>
    <row r="29" spans="1:2" x14ac:dyDescent="0.3">
      <c r="A29">
        <v>2.4761855084595124</v>
      </c>
      <c r="B29">
        <v>1.5623038367863726</v>
      </c>
    </row>
    <row r="30" spans="1:2" x14ac:dyDescent="0.3">
      <c r="A30">
        <v>1.2543099515600422</v>
      </c>
      <c r="B30">
        <v>2.104051305286804</v>
      </c>
    </row>
    <row r="31" spans="1:2" x14ac:dyDescent="0.3">
      <c r="A31">
        <v>-1.7150662137549815</v>
      </c>
      <c r="B31">
        <v>0.43420761487781961</v>
      </c>
    </row>
    <row r="32" spans="1:2" x14ac:dyDescent="0.3">
      <c r="A32">
        <v>2.9130453844624333</v>
      </c>
      <c r="B32">
        <v>2.6518994245559928</v>
      </c>
    </row>
    <row r="33" spans="1:2" x14ac:dyDescent="0.3">
      <c r="A33">
        <v>3.0147542680708379</v>
      </c>
      <c r="B33">
        <v>2.4196732994260901</v>
      </c>
    </row>
    <row r="34" spans="1:2" x14ac:dyDescent="0.3">
      <c r="A34">
        <v>1.0034163067494519</v>
      </c>
      <c r="B34">
        <v>2.0720098993317073</v>
      </c>
    </row>
    <row r="35" spans="1:2" x14ac:dyDescent="0.3">
      <c r="A35">
        <v>1.540949478409954</v>
      </c>
      <c r="B35">
        <v>1.9467350203041198</v>
      </c>
    </row>
    <row r="36" spans="1:2" x14ac:dyDescent="0.3">
      <c r="A36">
        <v>-1.1193755027885457</v>
      </c>
      <c r="B36">
        <v>0.15169975405413774</v>
      </c>
    </row>
    <row r="37" spans="1:2" x14ac:dyDescent="0.3">
      <c r="A37">
        <v>-0.87743306801363308</v>
      </c>
      <c r="B37">
        <v>-4.432142326262585E-2</v>
      </c>
    </row>
    <row r="38" spans="1:2" x14ac:dyDescent="0.3">
      <c r="A38">
        <v>2.3927991450639805</v>
      </c>
      <c r="B38">
        <v>1.9924197442036224</v>
      </c>
    </row>
    <row r="39" spans="1:2" x14ac:dyDescent="0.3">
      <c r="A39">
        <v>2.0922384811666026</v>
      </c>
      <c r="B39">
        <v>1.4615833679551946</v>
      </c>
    </row>
    <row r="40" spans="1:2" x14ac:dyDescent="0.3">
      <c r="A40">
        <v>2.6829535524811039</v>
      </c>
      <c r="B40">
        <v>1.8423734306664434</v>
      </c>
    </row>
    <row r="41" spans="1:2" x14ac:dyDescent="0.3">
      <c r="A41">
        <v>1.6669547667754046</v>
      </c>
      <c r="B41">
        <v>1.5495380927565481</v>
      </c>
    </row>
    <row r="42" spans="1:2" x14ac:dyDescent="0.3">
      <c r="A42">
        <v>1.7173372361938557</v>
      </c>
      <c r="B42">
        <v>2.746182663788443</v>
      </c>
    </row>
    <row r="43" spans="1:2" x14ac:dyDescent="0.3">
      <c r="A43">
        <v>1.40573157191256</v>
      </c>
      <c r="B43">
        <v>1.673498237868537</v>
      </c>
    </row>
    <row r="44" spans="1:2" x14ac:dyDescent="0.3">
      <c r="A44">
        <v>1.6575182368052235</v>
      </c>
      <c r="B44">
        <v>2.1767550935826003</v>
      </c>
    </row>
    <row r="45" spans="1:2" x14ac:dyDescent="0.3">
      <c r="A45">
        <v>1.4599321851782419</v>
      </c>
      <c r="B45">
        <v>0.92212358974014785</v>
      </c>
    </row>
    <row r="46" spans="1:2" x14ac:dyDescent="0.3">
      <c r="A46">
        <v>1.1212470077135859</v>
      </c>
      <c r="B46">
        <v>1.3548390407530473</v>
      </c>
    </row>
    <row r="47" spans="1:2" x14ac:dyDescent="0.3">
      <c r="A47">
        <v>1.7918784720490042</v>
      </c>
      <c r="B47">
        <v>1.7698862356276033</v>
      </c>
    </row>
    <row r="48" spans="1:2" x14ac:dyDescent="0.3">
      <c r="A48">
        <v>1.2219170028170436</v>
      </c>
      <c r="B48">
        <v>0.78966007736569332</v>
      </c>
    </row>
    <row r="49" spans="1:2" x14ac:dyDescent="0.3">
      <c r="A49">
        <v>-2.3397705920288683</v>
      </c>
      <c r="B49">
        <v>-0.81591374113327919</v>
      </c>
    </row>
    <row r="50" spans="1:2" x14ac:dyDescent="0.3">
      <c r="A50">
        <v>-2.5304567012201291</v>
      </c>
      <c r="B50">
        <v>-0.15619700462512098</v>
      </c>
    </row>
    <row r="51" spans="1:2" x14ac:dyDescent="0.3">
      <c r="A51">
        <v>-2.6048471641057902</v>
      </c>
      <c r="B51">
        <v>0.84971362903066938</v>
      </c>
    </row>
    <row r="52" spans="1:2" x14ac:dyDescent="0.3">
      <c r="A52">
        <v>-2.561777655912429</v>
      </c>
      <c r="B52">
        <v>1.5562762513242896</v>
      </c>
    </row>
    <row r="53" spans="1:2" x14ac:dyDescent="0.3">
      <c r="A53">
        <v>-2.3049662356980609</v>
      </c>
      <c r="B53">
        <v>6.9710887353717263E-2</v>
      </c>
    </row>
    <row r="54" spans="1:2" x14ac:dyDescent="0.3">
      <c r="A54">
        <v>-2.3069441756775242</v>
      </c>
      <c r="B54">
        <v>-0.68924902270318267</v>
      </c>
    </row>
    <row r="55" spans="1:2" x14ac:dyDescent="0.3">
      <c r="A55">
        <v>-2.0718546908689954</v>
      </c>
      <c r="B55">
        <v>-0.17208551279584638</v>
      </c>
    </row>
    <row r="56" spans="1:2" x14ac:dyDescent="0.3">
      <c r="A56">
        <v>-1.8148943511814728</v>
      </c>
      <c r="B56">
        <v>-1.3737350729358524</v>
      </c>
    </row>
    <row r="57" spans="1:2" x14ac:dyDescent="0.3">
      <c r="A57">
        <v>-2.4014342563981042</v>
      </c>
      <c r="B57">
        <v>-0.20845510909858794</v>
      </c>
    </row>
    <row r="58" spans="1:2" x14ac:dyDescent="0.3">
      <c r="A58">
        <v>-2.4020792254855814</v>
      </c>
      <c r="B58">
        <v>-1.5494894247042994</v>
      </c>
    </row>
    <row r="59" spans="1:2" x14ac:dyDescent="0.3">
      <c r="A59">
        <v>-2.3767343627227953</v>
      </c>
      <c r="B59">
        <v>-1.5402377906425269</v>
      </c>
    </row>
    <row r="60" spans="1:2" x14ac:dyDescent="0.3">
      <c r="A60">
        <v>7.5240689164632482</v>
      </c>
      <c r="B60">
        <v>-5.8160511989105732</v>
      </c>
    </row>
    <row r="61" spans="1:2" x14ac:dyDescent="0.3">
      <c r="A61">
        <v>-3.3640780446396756</v>
      </c>
      <c r="B61">
        <v>-0.74044932046244394</v>
      </c>
    </row>
    <row r="62" spans="1:2" x14ac:dyDescent="0.3">
      <c r="A62">
        <v>-3.3065259972987615</v>
      </c>
      <c r="B62">
        <v>-1.146821300383426</v>
      </c>
    </row>
    <row r="63" spans="1:2" x14ac:dyDescent="0.3">
      <c r="A63">
        <v>-0.34380069896122684</v>
      </c>
      <c r="B63">
        <v>4.1598350578037881E-2</v>
      </c>
    </row>
    <row r="64" spans="1:2" x14ac:dyDescent="0.3">
      <c r="A64">
        <v>-1.777010267056649</v>
      </c>
      <c r="B64">
        <v>-0.15928636364245496</v>
      </c>
    </row>
    <row r="65" spans="1:2" x14ac:dyDescent="0.3">
      <c r="A65">
        <v>-2.1476648216577292</v>
      </c>
      <c r="B65">
        <v>-1.0147455504863447</v>
      </c>
    </row>
    <row r="66" spans="1:2" x14ac:dyDescent="0.3">
      <c r="A66">
        <v>-3.1451568572930326</v>
      </c>
      <c r="B66">
        <v>-0.35510365182273163</v>
      </c>
    </row>
    <row r="67" spans="1:2" x14ac:dyDescent="0.3">
      <c r="A67">
        <v>-2.8586096892316029</v>
      </c>
      <c r="B67">
        <v>-0.2269037306494093</v>
      </c>
    </row>
    <row r="68" spans="1:2" x14ac:dyDescent="0.3">
      <c r="A68">
        <v>-2.6714218443740192</v>
      </c>
      <c r="B68">
        <v>-5.7989958159435168E-2</v>
      </c>
    </row>
    <row r="69" spans="1:2" x14ac:dyDescent="0.3">
      <c r="A69">
        <v>-2.6547786995833613</v>
      </c>
      <c r="B69">
        <v>-1.1734088534012588</v>
      </c>
    </row>
    <row r="70" spans="1:2" x14ac:dyDescent="0.3">
      <c r="A70">
        <v>-2.3176880833561926</v>
      </c>
      <c r="B70">
        <v>-1.4410337543955947</v>
      </c>
    </row>
    <row r="71" spans="1:2" x14ac:dyDescent="0.3">
      <c r="A71">
        <v>-2.2685186614853445</v>
      </c>
      <c r="B71">
        <v>-1.5903111039999478</v>
      </c>
    </row>
    <row r="72" spans="1:2" x14ac:dyDescent="0.3">
      <c r="A72">
        <v>-2.3043388456406961</v>
      </c>
      <c r="B72">
        <v>-1.4788383028064462</v>
      </c>
    </row>
    <row r="73" spans="1:2" x14ac:dyDescent="0.3">
      <c r="A73">
        <v>-2.2391344693294459</v>
      </c>
      <c r="B73">
        <v>-1.5432219129707982</v>
      </c>
    </row>
    <row r="74" spans="1:2" x14ac:dyDescent="0.3">
      <c r="A74">
        <v>-2.0306672901917668</v>
      </c>
      <c r="B74">
        <v>-1.7366382696066451</v>
      </c>
    </row>
    <row r="75" spans="1:2" x14ac:dyDescent="0.3">
      <c r="A75">
        <v>-2.3648240272683645</v>
      </c>
      <c r="B75">
        <v>-1.443937378960005</v>
      </c>
    </row>
    <row r="76" spans="1:2" x14ac:dyDescent="0.3">
      <c r="A76">
        <v>-2.240868276307542</v>
      </c>
      <c r="B76">
        <v>-1.5850501713678784</v>
      </c>
    </row>
    <row r="77" spans="1:2" x14ac:dyDescent="0.3">
      <c r="A77">
        <v>-2.0457746177404359</v>
      </c>
      <c r="B77">
        <v>-1.6052629227800119</v>
      </c>
    </row>
    <row r="78" spans="1:2" x14ac:dyDescent="0.3">
      <c r="A78">
        <v>-2.285625260414323</v>
      </c>
      <c r="B78">
        <v>-1.551532218919498</v>
      </c>
    </row>
    <row r="79" spans="1:2" x14ac:dyDescent="0.3">
      <c r="A79">
        <v>-2.1674411979782686</v>
      </c>
      <c r="B79">
        <v>-1.6816479834880498</v>
      </c>
    </row>
    <row r="80" spans="1:2" x14ac:dyDescent="0.3">
      <c r="A80">
        <v>-2.0581921786409358</v>
      </c>
      <c r="B80">
        <v>-1.6359987031805903</v>
      </c>
    </row>
    <row r="81" spans="1:2" x14ac:dyDescent="0.3">
      <c r="A81">
        <v>-2.4258296736597411</v>
      </c>
      <c r="B81">
        <v>-1.6886088409921511</v>
      </c>
    </row>
    <row r="82" spans="1:2" x14ac:dyDescent="0.3">
      <c r="A82">
        <v>-2.5730648906427751</v>
      </c>
      <c r="B82">
        <v>-1.423424419063537</v>
      </c>
    </row>
    <row r="83" spans="1:2" x14ac:dyDescent="0.3">
      <c r="A83">
        <v>7.914107185464629</v>
      </c>
      <c r="B83">
        <v>-1.4131731430312768</v>
      </c>
    </row>
    <row r="84" spans="1:2" x14ac:dyDescent="0.3">
      <c r="A84">
        <v>10.635532765419544</v>
      </c>
      <c r="B84">
        <v>-3.5514998933341859</v>
      </c>
    </row>
    <row r="85" spans="1:2" x14ac:dyDescent="0.3">
      <c r="A85">
        <v>11.069285199887933</v>
      </c>
      <c r="B85">
        <v>-1.8044447091168139</v>
      </c>
    </row>
    <row r="86" spans="1:2" x14ac:dyDescent="0.3">
      <c r="A86">
        <v>7.7336959006770796</v>
      </c>
      <c r="B86">
        <v>-2.0939061850961931</v>
      </c>
    </row>
    <row r="87" spans="1:2" x14ac:dyDescent="0.3">
      <c r="A87">
        <v>9.9952971732000435</v>
      </c>
      <c r="B87">
        <v>-3.2904780610190589</v>
      </c>
    </row>
    <row r="88" spans="1:2" x14ac:dyDescent="0.3">
      <c r="A88">
        <v>0.90196589734951338</v>
      </c>
      <c r="B88">
        <v>-2.1028173751790296</v>
      </c>
    </row>
    <row r="89" spans="1:2" x14ac:dyDescent="0.3">
      <c r="A89">
        <v>-1.1608989891600654</v>
      </c>
      <c r="B89">
        <v>-1.3314989732711657</v>
      </c>
    </row>
    <row r="90" spans="1:2" x14ac:dyDescent="0.3">
      <c r="A90">
        <v>-1.0045475316315069</v>
      </c>
      <c r="B90">
        <v>-1.4482076001164463</v>
      </c>
    </row>
    <row r="91" spans="1:2" x14ac:dyDescent="0.3">
      <c r="A91">
        <v>-2.1848430636163205</v>
      </c>
      <c r="B91">
        <v>-2.3983312404686314</v>
      </c>
    </row>
    <row r="92" spans="1:2" x14ac:dyDescent="0.3">
      <c r="A92">
        <v>-2.1732171510750566</v>
      </c>
      <c r="B92">
        <v>-2.2307544084699158</v>
      </c>
    </row>
    <row r="93" spans="1:2" x14ac:dyDescent="0.3">
      <c r="A93">
        <v>-2.0200990623186605</v>
      </c>
      <c r="B93">
        <v>-2.211623635530914</v>
      </c>
    </row>
    <row r="94" spans="1:2" x14ac:dyDescent="0.3">
      <c r="A94">
        <v>-1.8179347276139031</v>
      </c>
      <c r="B94">
        <v>-2.4675485962730557</v>
      </c>
    </row>
    <row r="95" spans="1:2" x14ac:dyDescent="0.3">
      <c r="A95">
        <v>-2.2309022290824885</v>
      </c>
      <c r="B95">
        <v>-1.7102928070770587</v>
      </c>
    </row>
    <row r="96" spans="1:2" x14ac:dyDescent="0.3">
      <c r="A96">
        <v>-2.4873901641340188</v>
      </c>
      <c r="B96">
        <v>-2.1746400160910189</v>
      </c>
    </row>
    <row r="97" spans="1:2" x14ac:dyDescent="0.3">
      <c r="A97">
        <v>-1.8251221594038327</v>
      </c>
      <c r="B97">
        <v>-1.6825742794333158</v>
      </c>
    </row>
    <row r="98" spans="1:2" x14ac:dyDescent="0.3">
      <c r="A98">
        <v>-1.0198683936810176</v>
      </c>
      <c r="B98">
        <v>-2.0116273744640742</v>
      </c>
    </row>
    <row r="99" spans="1:2" x14ac:dyDescent="0.3">
      <c r="A99">
        <v>-1.6950929685149521</v>
      </c>
      <c r="B99">
        <v>-2.0886316387618087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99CE2-D272-4096-904B-963F33D13AB9}">
  <sheetPr codeName="XLSTAT_20240405_134419_1_HID1"/>
  <dimension ref="A1:D500"/>
  <sheetViews>
    <sheetView workbookViewId="0"/>
  </sheetViews>
  <sheetFormatPr defaultRowHeight="14.4" x14ac:dyDescent="0.3"/>
  <sheetData>
    <row r="1" spans="1:4" x14ac:dyDescent="0.3">
      <c r="A1">
        <v>1</v>
      </c>
      <c r="B1">
        <f t="shared" ref="B1:B64" si="0">-3.14159265358979+(A1-1)*0.0125915537218028</f>
        <v>-3.14159265358979</v>
      </c>
      <c r="C1">
        <f t="shared" ref="C1:C64" si="1">1*COS(B1)+0</f>
        <v>-1</v>
      </c>
      <c r="D1">
        <f t="shared" ref="D1:D64" si="2">1*SIN(B1)+0+0*COS(B1)</f>
        <v>-3.2311393144413003E-15</v>
      </c>
    </row>
    <row r="2" spans="1:4" x14ac:dyDescent="0.3">
      <c r="A2">
        <v>2</v>
      </c>
      <c r="B2">
        <f t="shared" si="0"/>
        <v>-3.1290010998679874</v>
      </c>
      <c r="C2">
        <f t="shared" si="1"/>
        <v>-0.99992072743481419</v>
      </c>
      <c r="D2">
        <f t="shared" si="2"/>
        <v>-1.2591220998459735E-2</v>
      </c>
    </row>
    <row r="3" spans="1:4" x14ac:dyDescent="0.3">
      <c r="A3">
        <v>3</v>
      </c>
      <c r="B3">
        <f t="shared" si="0"/>
        <v>-3.1164095461461843</v>
      </c>
      <c r="C3">
        <f t="shared" si="1"/>
        <v>-0.99968292230753597</v>
      </c>
      <c r="D3">
        <f t="shared" si="2"/>
        <v>-2.5180445720141945E-2</v>
      </c>
    </row>
    <row r="4" spans="1:4" x14ac:dyDescent="0.3">
      <c r="A4">
        <v>4</v>
      </c>
      <c r="B4">
        <f t="shared" si="0"/>
        <v>-3.1038179924243816</v>
      </c>
      <c r="C4">
        <f t="shared" si="1"/>
        <v>-0.99928662232101029</v>
      </c>
      <c r="D4">
        <f t="shared" si="2"/>
        <v>-3.7765678204774195E-2</v>
      </c>
    </row>
    <row r="5" spans="1:4" x14ac:dyDescent="0.3">
      <c r="A5">
        <v>5</v>
      </c>
      <c r="B5">
        <f t="shared" si="0"/>
        <v>-3.091226438702579</v>
      </c>
      <c r="C5">
        <f t="shared" si="1"/>
        <v>-0.9987318903066702</v>
      </c>
      <c r="D5">
        <f t="shared" si="2"/>
        <v>-5.0344923125031901E-2</v>
      </c>
    </row>
    <row r="6" spans="1:4" x14ac:dyDescent="0.3">
      <c r="A6">
        <v>6</v>
      </c>
      <c r="B6">
        <f t="shared" si="0"/>
        <v>-3.0786348849807759</v>
      </c>
      <c r="C6">
        <f t="shared" si="1"/>
        <v>-0.99801881421457506</v>
      </c>
      <c r="D6">
        <f t="shared" si="2"/>
        <v>-6.291618610288964E-2</v>
      </c>
    </row>
    <row r="7" spans="1:4" x14ac:dyDescent="0.3">
      <c r="A7">
        <v>7</v>
      </c>
      <c r="B7">
        <f t="shared" si="0"/>
        <v>-3.0660433312589732</v>
      </c>
      <c r="C7">
        <f t="shared" si="1"/>
        <v>-0.99714750709946709</v>
      </c>
      <c r="D7">
        <f t="shared" si="2"/>
        <v>-7.547747402581878E-2</v>
      </c>
    </row>
    <row r="8" spans="1:4" x14ac:dyDescent="0.3">
      <c r="A8">
        <v>8</v>
      </c>
      <c r="B8">
        <f t="shared" si="0"/>
        <v>-3.0534517775371706</v>
      </c>
      <c r="C8">
        <f t="shared" si="1"/>
        <v>-0.99611810710284643</v>
      </c>
      <c r="D8">
        <f t="shared" si="2"/>
        <v>-8.8026795362788374E-2</v>
      </c>
    </row>
    <row r="9" spans="1:4" x14ac:dyDescent="0.3">
      <c r="A9">
        <v>9</v>
      </c>
      <c r="B9">
        <f t="shared" si="0"/>
        <v>-3.0408602238153675</v>
      </c>
      <c r="C9">
        <f t="shared" si="1"/>
        <v>-0.9949307774310695</v>
      </c>
      <c r="D9">
        <f t="shared" si="2"/>
        <v>-0.10056216048001143</v>
      </c>
    </row>
    <row r="10" spans="1:4" x14ac:dyDescent="0.3">
      <c r="A10">
        <v>10</v>
      </c>
      <c r="B10">
        <f t="shared" si="0"/>
        <v>-3.0282686700935648</v>
      </c>
      <c r="C10">
        <f t="shared" si="1"/>
        <v>-0.99358570632947418</v>
      </c>
      <c r="D10">
        <f t="shared" si="2"/>
        <v>-0.1130815819563903</v>
      </c>
    </row>
    <row r="11" spans="1:4" x14ac:dyDescent="0.3">
      <c r="A11">
        <v>11</v>
      </c>
      <c r="B11">
        <f t="shared" si="0"/>
        <v>-3.0156771163717622</v>
      </c>
      <c r="C11">
        <f t="shared" si="1"/>
        <v>-0.99208310705253355</v>
      </c>
      <c r="D11">
        <f t="shared" si="2"/>
        <v>-0.12558307489861525</v>
      </c>
    </row>
    <row r="12" spans="1:4" x14ac:dyDescent="0.3">
      <c r="A12">
        <v>12</v>
      </c>
      <c r="B12">
        <f t="shared" si="0"/>
        <v>-3.0030855626499591</v>
      </c>
      <c r="C12">
        <f t="shared" si="1"/>
        <v>-0.99042321783004583</v>
      </c>
      <c r="D12">
        <f t="shared" si="2"/>
        <v>-0.1380646572558584</v>
      </c>
    </row>
    <row r="13" spans="1:4" x14ac:dyDescent="0.3">
      <c r="A13">
        <v>13</v>
      </c>
      <c r="B13">
        <f t="shared" si="0"/>
        <v>-2.9904940089281564</v>
      </c>
      <c r="C13">
        <f t="shared" si="1"/>
        <v>-0.98860630182936415</v>
      </c>
      <c r="D13">
        <f t="shared" si="2"/>
        <v>-0.15052435013401677</v>
      </c>
    </row>
    <row r="14" spans="1:4" x14ac:dyDescent="0.3">
      <c r="A14">
        <v>14</v>
      </c>
      <c r="B14">
        <f t="shared" si="0"/>
        <v>-2.9779024552063538</v>
      </c>
      <c r="C14">
        <f t="shared" si="1"/>
        <v>-0.98663264711367293</v>
      </c>
      <c r="D14">
        <f t="shared" si="2"/>
        <v>-0.16296017810945904</v>
      </c>
    </row>
    <row r="15" spans="1:4" x14ac:dyDescent="0.3">
      <c r="A15">
        <v>15</v>
      </c>
      <c r="B15">
        <f t="shared" si="0"/>
        <v>-2.9653109014845507</v>
      </c>
      <c r="C15">
        <f t="shared" si="1"/>
        <v>-0.98450256659631608</v>
      </c>
      <c r="D15">
        <f t="shared" si="2"/>
        <v>-0.17537016954221801</v>
      </c>
    </row>
    <row r="16" spans="1:4" x14ac:dyDescent="0.3">
      <c r="A16">
        <v>16</v>
      </c>
      <c r="B16">
        <f t="shared" si="0"/>
        <v>-2.952719347762748</v>
      </c>
      <c r="C16">
        <f t="shared" si="1"/>
        <v>-0.9822163979911871</v>
      </c>
      <c r="D16">
        <f t="shared" si="2"/>
        <v>-0.18775235688858319</v>
      </c>
    </row>
    <row r="17" spans="1:4" x14ac:dyDescent="0.3">
      <c r="A17">
        <v>17</v>
      </c>
      <c r="B17">
        <f t="shared" si="0"/>
        <v>-2.9401277940409454</v>
      </c>
      <c r="C17">
        <f t="shared" si="1"/>
        <v>-0.97977450375918562</v>
      </c>
      <c r="D17">
        <f t="shared" si="2"/>
        <v>-0.20010477701304791</v>
      </c>
    </row>
    <row r="18" spans="1:4" x14ac:dyDescent="0.3">
      <c r="A18">
        <v>18</v>
      </c>
      <c r="B18">
        <f t="shared" si="0"/>
        <v>-2.9275362403191423</v>
      </c>
      <c r="C18">
        <f t="shared" si="1"/>
        <v>-0.9771772710507507</v>
      </c>
      <c r="D18">
        <f t="shared" si="2"/>
        <v>-0.21242547149955354</v>
      </c>
    </row>
    <row r="19" spans="1:4" x14ac:dyDescent="0.3">
      <c r="A19">
        <v>19</v>
      </c>
      <c r="B19">
        <f t="shared" si="0"/>
        <v>-2.9149446865973396</v>
      </c>
      <c r="C19">
        <f t="shared" si="1"/>
        <v>-0.97442511164448109</v>
      </c>
      <c r="D19">
        <f t="shared" si="2"/>
        <v>-0.22471248696198562</v>
      </c>
    </row>
    <row r="20" spans="1:4" x14ac:dyDescent="0.3">
      <c r="A20">
        <v>20</v>
      </c>
      <c r="B20">
        <f t="shared" si="0"/>
        <v>-2.902353132875537</v>
      </c>
      <c r="C20">
        <f t="shared" si="1"/>
        <v>-0.97151846188184843</v>
      </c>
      <c r="D20">
        <f t="shared" si="2"/>
        <v>-0.23696387535387617</v>
      </c>
    </row>
    <row r="21" spans="1:4" x14ac:dyDescent="0.3">
      <c r="A21">
        <v>21</v>
      </c>
      <c r="B21">
        <f t="shared" si="0"/>
        <v>-2.8897615791537339</v>
      </c>
      <c r="C21">
        <f t="shared" si="1"/>
        <v>-0.96845778259801829</v>
      </c>
      <c r="D21">
        <f t="shared" si="2"/>
        <v>-0.24917769427725583</v>
      </c>
    </row>
    <row r="22" spans="1:4" x14ac:dyDescent="0.3">
      <c r="A22">
        <v>22</v>
      </c>
      <c r="B22">
        <f t="shared" si="0"/>
        <v>-2.8771700254319312</v>
      </c>
      <c r="C22">
        <f t="shared" si="1"/>
        <v>-0.96524355904878689</v>
      </c>
      <c r="D22">
        <f t="shared" si="2"/>
        <v>-0.2613520072906102</v>
      </c>
    </row>
    <row r="23" spans="1:4" x14ac:dyDescent="0.3">
      <c r="A23">
        <v>23</v>
      </c>
      <c r="B23">
        <f t="shared" si="0"/>
        <v>-2.8645784717101286</v>
      </c>
      <c r="C23">
        <f t="shared" si="1"/>
        <v>-0.96187630083364573</v>
      </c>
      <c r="D23">
        <f t="shared" si="2"/>
        <v>-0.27348488421589578</v>
      </c>
    </row>
    <row r="24" spans="1:4" x14ac:dyDescent="0.3">
      <c r="A24">
        <v>24</v>
      </c>
      <c r="B24">
        <f t="shared" si="0"/>
        <v>-2.8519869179883255</v>
      </c>
      <c r="C24">
        <f t="shared" si="1"/>
        <v>-0.95835654181498742</v>
      </c>
      <c r="D24">
        <f t="shared" si="2"/>
        <v>-0.28557440144455914</v>
      </c>
    </row>
    <row r="25" spans="1:4" x14ac:dyDescent="0.3">
      <c r="A25">
        <v>25</v>
      </c>
      <c r="B25">
        <f t="shared" si="0"/>
        <v>-2.8393953642665228</v>
      </c>
      <c r="C25">
        <f t="shared" si="1"/>
        <v>-0.95468484003346477</v>
      </c>
      <c r="D25">
        <f t="shared" si="2"/>
        <v>-0.29761864224251428</v>
      </c>
    </row>
    <row r="26" spans="1:4" x14ac:dyDescent="0.3">
      <c r="A26">
        <v>26</v>
      </c>
      <c r="B26">
        <f t="shared" si="0"/>
        <v>-2.8268038105447202</v>
      </c>
      <c r="C26">
        <f t="shared" si="1"/>
        <v>-0.95086177761951529</v>
      </c>
      <c r="D26">
        <f t="shared" si="2"/>
        <v>-0.30961569705403402</v>
      </c>
    </row>
    <row r="27" spans="1:4" x14ac:dyDescent="0.3">
      <c r="A27">
        <v>27</v>
      </c>
      <c r="B27">
        <f t="shared" si="0"/>
        <v>-2.8142122568229171</v>
      </c>
      <c r="C27">
        <f t="shared" si="1"/>
        <v>-0.94688796070106762</v>
      </c>
      <c r="D27">
        <f t="shared" si="2"/>
        <v>-0.32156366380449974</v>
      </c>
    </row>
    <row r="28" spans="1:4" x14ac:dyDescent="0.3">
      <c r="A28">
        <v>28</v>
      </c>
      <c r="B28">
        <f t="shared" si="0"/>
        <v>-2.8016207031011144</v>
      </c>
      <c r="C28">
        <f t="shared" si="1"/>
        <v>-0.94276401930744358</v>
      </c>
      <c r="D28">
        <f t="shared" si="2"/>
        <v>-0.33346064820196436</v>
      </c>
    </row>
    <row r="29" spans="1:4" x14ac:dyDescent="0.3">
      <c r="A29">
        <v>29</v>
      </c>
      <c r="B29">
        <f t="shared" si="0"/>
        <v>-2.7890291493793118</v>
      </c>
      <c r="C29">
        <f t="shared" si="1"/>
        <v>-0.93849060726946865</v>
      </c>
      <c r="D29">
        <f t="shared" si="2"/>
        <v>-0.345304764037486</v>
      </c>
    </row>
    <row r="30" spans="1:4" x14ac:dyDescent="0.3">
      <c r="A30">
        <v>30</v>
      </c>
      <c r="B30">
        <f t="shared" si="0"/>
        <v>-2.7764375956575087</v>
      </c>
      <c r="C30">
        <f t="shared" si="1"/>
        <v>-0.93406840211581166</v>
      </c>
      <c r="D30">
        <f t="shared" si="2"/>
        <v>-0.35709413348417585</v>
      </c>
    </row>
    <row r="31" spans="1:4" x14ac:dyDescent="0.3">
      <c r="A31">
        <v>31</v>
      </c>
      <c r="B31">
        <f t="shared" si="0"/>
        <v>-2.763846041935706</v>
      </c>
      <c r="C31">
        <f t="shared" si="1"/>
        <v>-0.9294981049655654</v>
      </c>
      <c r="D31">
        <f t="shared" si="2"/>
        <v>-0.36882688739491704</v>
      </c>
    </row>
    <row r="32" spans="1:4" x14ac:dyDescent="0.3">
      <c r="A32">
        <v>32</v>
      </c>
      <c r="B32">
        <f t="shared" si="0"/>
        <v>-2.7512544882139034</v>
      </c>
      <c r="C32">
        <f t="shared" si="1"/>
        <v>-0.92478044041708718</v>
      </c>
      <c r="D32">
        <f t="shared" si="2"/>
        <v>-0.38050116559871172</v>
      </c>
    </row>
    <row r="33" spans="1:4" x14ac:dyDescent="0.3">
      <c r="A33">
        <v>33</v>
      </c>
      <c r="B33">
        <f t="shared" si="0"/>
        <v>-2.7386629344921003</v>
      </c>
      <c r="C33">
        <f t="shared" si="1"/>
        <v>-0.91991615643311786</v>
      </c>
      <c r="D33">
        <f t="shared" si="2"/>
        <v>-0.39211511719560044</v>
      </c>
    </row>
    <row r="34" spans="1:4" x14ac:dyDescent="0.3">
      <c r="A34">
        <v>34</v>
      </c>
      <c r="B34">
        <f t="shared" si="0"/>
        <v>-2.7260713807702976</v>
      </c>
      <c r="C34">
        <f t="shared" si="1"/>
        <v>-0.91490602422219602</v>
      </c>
      <c r="D34">
        <f t="shared" si="2"/>
        <v>-0.40366690085011231</v>
      </c>
    </row>
    <row r="35" spans="1:4" x14ac:dyDescent="0.3">
      <c r="A35">
        <v>35</v>
      </c>
      <c r="B35">
        <f t="shared" si="0"/>
        <v>-2.713479827048495</v>
      </c>
      <c r="C35">
        <f t="shared" si="1"/>
        <v>-0.90975083811638624</v>
      </c>
      <c r="D35">
        <f t="shared" si="2"/>
        <v>-0.41515468508320219</v>
      </c>
    </row>
    <row r="36" spans="1:4" x14ac:dyDescent="0.3">
      <c r="A36">
        <v>36</v>
      </c>
      <c r="B36">
        <f t="shared" si="0"/>
        <v>-2.7008882733266919</v>
      </c>
      <c r="C36">
        <f t="shared" si="1"/>
        <v>-0.90445141544534147</v>
      </c>
      <c r="D36">
        <f t="shared" si="2"/>
        <v>-0.42657664856262156</v>
      </c>
    </row>
    <row r="37" spans="1:4" x14ac:dyDescent="0.3">
      <c r="A37">
        <v>37</v>
      </c>
      <c r="B37">
        <f t="shared" si="0"/>
        <v>-2.6882967196048893</v>
      </c>
      <c r="C37">
        <f t="shared" si="1"/>
        <v>-0.89900859640672026</v>
      </c>
      <c r="D37">
        <f t="shared" si="2"/>
        <v>-0.43793098039168077</v>
      </c>
    </row>
    <row r="38" spans="1:4" x14ac:dyDescent="0.3">
      <c r="A38">
        <v>38</v>
      </c>
      <c r="B38">
        <f t="shared" si="0"/>
        <v>-2.6757051658830866</v>
      </c>
      <c r="C38">
        <f t="shared" si="1"/>
        <v>-0.89342324393297667</v>
      </c>
      <c r="D38">
        <f t="shared" si="2"/>
        <v>-0.44921588039636001</v>
      </c>
    </row>
    <row r="39" spans="1:4" x14ac:dyDescent="0.3">
      <c r="A39">
        <v>39</v>
      </c>
      <c r="B39">
        <f t="shared" si="0"/>
        <v>-2.6631136121612835</v>
      </c>
      <c r="C39">
        <f t="shared" si="1"/>
        <v>-0.88769624355454657</v>
      </c>
      <c r="D39">
        <f t="shared" si="2"/>
        <v>-0.46042955941071717</v>
      </c>
    </row>
    <row r="40" spans="1:4" x14ac:dyDescent="0.3">
      <c r="A40">
        <v>40</v>
      </c>
      <c r="B40">
        <f t="shared" si="0"/>
        <v>-2.6505220584394809</v>
      </c>
      <c r="C40">
        <f t="shared" si="1"/>
        <v>-0.88182850325945195</v>
      </c>
      <c r="D40">
        <f t="shared" si="2"/>
        <v>-0.47157023956055033</v>
      </c>
    </row>
    <row r="41" spans="1:4" x14ac:dyDescent="0.3">
      <c r="A41">
        <v>41</v>
      </c>
      <c r="B41">
        <f t="shared" si="0"/>
        <v>-2.6379305047176782</v>
      </c>
      <c r="C41">
        <f t="shared" si="1"/>
        <v>-0.87582095334934262</v>
      </c>
      <c r="D41">
        <f t="shared" si="2"/>
        <v>-0.48263615454527298</v>
      </c>
    </row>
    <row r="42" spans="1:4" x14ac:dyDescent="0.3">
      <c r="A42">
        <v>42</v>
      </c>
      <c r="B42">
        <f t="shared" si="0"/>
        <v>-2.6253389509958751</v>
      </c>
      <c r="C42">
        <f t="shared" si="1"/>
        <v>-0.86967454629200225</v>
      </c>
      <c r="D42">
        <f t="shared" si="2"/>
        <v>-0.4936255499179516</v>
      </c>
    </row>
    <row r="43" spans="1:4" x14ac:dyDescent="0.3">
      <c r="A43">
        <v>43</v>
      </c>
      <c r="B43">
        <f t="shared" si="0"/>
        <v>-2.6127473972740725</v>
      </c>
      <c r="C43">
        <f t="shared" si="1"/>
        <v>-0.8633902565703393</v>
      </c>
      <c r="D43">
        <f t="shared" si="2"/>
        <v>-0.50453668336346336</v>
      </c>
    </row>
    <row r="44" spans="1:4" x14ac:dyDescent="0.3">
      <c r="A44">
        <v>44</v>
      </c>
      <c r="B44">
        <f t="shared" si="0"/>
        <v>-2.6001558435522698</v>
      </c>
      <c r="C44">
        <f t="shared" si="1"/>
        <v>-0.8569690805278869</v>
      </c>
      <c r="D44">
        <f t="shared" si="2"/>
        <v>-0.51536782497473399</v>
      </c>
    </row>
    <row r="45" spans="1:4" x14ac:dyDescent="0.3">
      <c r="A45">
        <v>45</v>
      </c>
      <c r="B45">
        <f t="shared" si="0"/>
        <v>-2.5875642898304667</v>
      </c>
      <c r="C45">
        <f t="shared" si="1"/>
        <v>-0.85041203621083761</v>
      </c>
      <c r="D45">
        <f t="shared" si="2"/>
        <v>-0.52611725752700511</v>
      </c>
    </row>
    <row r="46" spans="1:4" x14ac:dyDescent="0.3">
      <c r="A46">
        <v>46</v>
      </c>
      <c r="B46">
        <f t="shared" si="0"/>
        <v>-2.5749727361086641</v>
      </c>
      <c r="C46">
        <f t="shared" si="1"/>
        <v>-0.84372016320663801</v>
      </c>
      <c r="D46">
        <f t="shared" si="2"/>
        <v>-0.53678327675009052</v>
      </c>
    </row>
    <row r="47" spans="1:4" x14ac:dyDescent="0.3">
      <c r="A47">
        <v>47</v>
      </c>
      <c r="B47">
        <f t="shared" si="0"/>
        <v>-2.5623811823868614</v>
      </c>
      <c r="C47">
        <f t="shared" si="1"/>
        <v>-0.83689452247916551</v>
      </c>
      <c r="D47">
        <f t="shared" si="2"/>
        <v>-0.54736419159858218</v>
      </c>
    </row>
    <row r="48" spans="1:4" x14ac:dyDescent="0.3">
      <c r="A48">
        <v>48</v>
      </c>
      <c r="B48">
        <f t="shared" si="0"/>
        <v>-2.5497896286650583</v>
      </c>
      <c r="C48">
        <f t="shared" si="1"/>
        <v>-0.82993619620051928</v>
      </c>
      <c r="D48">
        <f t="shared" si="2"/>
        <v>-0.55785832451995665</v>
      </c>
    </row>
    <row r="49" spans="1:4" x14ac:dyDescent="0.3">
      <c r="A49">
        <v>49</v>
      </c>
      <c r="B49">
        <f t="shared" si="0"/>
        <v>-2.5371980749432557</v>
      </c>
      <c r="C49">
        <f t="shared" si="1"/>
        <v>-0.82284628757944644</v>
      </c>
      <c r="D49">
        <f t="shared" si="2"/>
        <v>-0.56826401172054075</v>
      </c>
    </row>
    <row r="50" spans="1:4" x14ac:dyDescent="0.3">
      <c r="A50">
        <v>50</v>
      </c>
      <c r="B50">
        <f t="shared" si="0"/>
        <v>-2.524606521221453</v>
      </c>
      <c r="C50">
        <f t="shared" si="1"/>
        <v>-0.81562592068643358</v>
      </c>
      <c r="D50">
        <f t="shared" si="2"/>
        <v>-0.57857960342930126</v>
      </c>
    </row>
    <row r="51" spans="1:4" x14ac:dyDescent="0.3">
      <c r="A51">
        <v>51</v>
      </c>
      <c r="B51">
        <f t="shared" si="0"/>
        <v>-2.5120149674996499</v>
      </c>
      <c r="C51">
        <f t="shared" si="1"/>
        <v>-0.80827624027549083</v>
      </c>
      <c r="D51">
        <f t="shared" si="2"/>
        <v>-0.58880346415940599</v>
      </c>
    </row>
    <row r="52" spans="1:4" x14ac:dyDescent="0.3">
      <c r="A52">
        <v>52</v>
      </c>
      <c r="B52">
        <f t="shared" si="0"/>
        <v>-2.4994234137778473</v>
      </c>
      <c r="C52">
        <f t="shared" si="1"/>
        <v>-0.80079841160265763</v>
      </c>
      <c r="D52">
        <f t="shared" si="2"/>
        <v>-0.59893397296752204</v>
      </c>
    </row>
    <row r="53" spans="1:4" x14ac:dyDescent="0.3">
      <c r="A53">
        <v>53</v>
      </c>
      <c r="B53">
        <f t="shared" si="0"/>
        <v>-2.4868318600560446</v>
      </c>
      <c r="C53">
        <f t="shared" si="1"/>
        <v>-0.79319362024125561</v>
      </c>
      <c r="D53">
        <f t="shared" si="2"/>
        <v>-0.60896952371081003</v>
      </c>
    </row>
    <row r="54" spans="1:4" x14ac:dyDescent="0.3">
      <c r="A54">
        <v>54</v>
      </c>
      <c r="B54">
        <f t="shared" si="0"/>
        <v>-2.4742403063342415</v>
      </c>
      <c r="C54">
        <f t="shared" si="1"/>
        <v>-0.78546307189392217</v>
      </c>
      <c r="D54">
        <f t="shared" si="2"/>
        <v>-0.61890852530156926</v>
      </c>
    </row>
    <row r="55" spans="1:4" x14ac:dyDescent="0.3">
      <c r="A55">
        <v>55</v>
      </c>
      <c r="B55">
        <f t="shared" si="0"/>
        <v>-2.4616487526124389</v>
      </c>
      <c r="C55">
        <f t="shared" si="1"/>
        <v>-0.7776079922014536</v>
      </c>
      <c r="D55">
        <f t="shared" si="2"/>
        <v>-0.62874940195949613</v>
      </c>
    </row>
    <row r="56" spans="1:4" x14ac:dyDescent="0.3">
      <c r="A56">
        <v>56</v>
      </c>
      <c r="B56">
        <f t="shared" si="0"/>
        <v>-2.4490571988906362</v>
      </c>
      <c r="C56">
        <f t="shared" si="1"/>
        <v>-0.76962962654848344</v>
      </c>
      <c r="D56">
        <f t="shared" si="2"/>
        <v>-0.63849059346151837</v>
      </c>
    </row>
    <row r="57" spans="1:4" x14ac:dyDescent="0.3">
      <c r="A57">
        <v>57</v>
      </c>
      <c r="B57">
        <f t="shared" si="0"/>
        <v>-2.4364656451688331</v>
      </c>
      <c r="C57">
        <f t="shared" si="1"/>
        <v>-0.76152923986603405</v>
      </c>
      <c r="D57">
        <f t="shared" si="2"/>
        <v>-0.64813055538915954</v>
      </c>
    </row>
    <row r="58" spans="1:4" x14ac:dyDescent="0.3">
      <c r="A58">
        <v>58</v>
      </c>
      <c r="B58">
        <f t="shared" si="0"/>
        <v>-2.4238740914470305</v>
      </c>
      <c r="C58">
        <f t="shared" si="1"/>
        <v>-0.75330811643096862</v>
      </c>
      <c r="D58">
        <f t="shared" si="2"/>
        <v>-0.65766775937339839</v>
      </c>
    </row>
    <row r="59" spans="1:4" x14ac:dyDescent="0.3">
      <c r="A59">
        <v>59</v>
      </c>
      <c r="B59">
        <f t="shared" si="0"/>
        <v>-2.4112825377252278</v>
      </c>
      <c r="C59">
        <f t="shared" si="1"/>
        <v>-0.74496755966237371</v>
      </c>
      <c r="D59">
        <f t="shared" si="2"/>
        <v>-0.66710069333698618</v>
      </c>
    </row>
    <row r="60" spans="1:4" x14ac:dyDescent="0.3">
      <c r="A60">
        <v>60</v>
      </c>
      <c r="B60">
        <f t="shared" si="0"/>
        <v>-2.3986909840034247</v>
      </c>
      <c r="C60">
        <f t="shared" si="1"/>
        <v>-0.7365088919149092</v>
      </c>
      <c r="D60">
        <f t="shared" si="2"/>
        <v>-0.67642786173417824</v>
      </c>
    </row>
    <row r="61" spans="1:4" x14ac:dyDescent="0.3">
      <c r="A61">
        <v>61</v>
      </c>
      <c r="B61">
        <f t="shared" si="0"/>
        <v>-2.3860994302816221</v>
      </c>
      <c r="C61">
        <f t="shared" si="1"/>
        <v>-0.72793345426915657</v>
      </c>
      <c r="D61">
        <f t="shared" si="2"/>
        <v>-0.68564778578784435</v>
      </c>
    </row>
    <row r="62" spans="1:4" x14ac:dyDescent="0.3">
      <c r="A62">
        <v>62</v>
      </c>
      <c r="B62">
        <f t="shared" si="0"/>
        <v>-2.3735078765598194</v>
      </c>
      <c r="C62">
        <f t="shared" si="1"/>
        <v>-0.71924260631899495</v>
      </c>
      <c r="D62">
        <f t="shared" si="2"/>
        <v>-0.69475900372392385</v>
      </c>
    </row>
    <row r="63" spans="1:4" x14ac:dyDescent="0.3">
      <c r="A63">
        <v>63</v>
      </c>
      <c r="B63">
        <f t="shared" si="0"/>
        <v>-2.3609163228380163</v>
      </c>
      <c r="C63">
        <f t="shared" si="1"/>
        <v>-0.71043772595604548</v>
      </c>
      <c r="D63">
        <f t="shared" si="2"/>
        <v>-0.70376007100318139</v>
      </c>
    </row>
    <row r="64" spans="1:4" x14ac:dyDescent="0.3">
      <c r="A64">
        <v>64</v>
      </c>
      <c r="B64">
        <f t="shared" si="0"/>
        <v>-2.3483247691162137</v>
      </c>
      <c r="C64">
        <f t="shared" si="1"/>
        <v>-0.70152020915121371</v>
      </c>
      <c r="D64">
        <f t="shared" si="2"/>
        <v>-0.71264956055023099</v>
      </c>
    </row>
    <row r="65" spans="1:4" x14ac:dyDescent="0.3">
      <c r="A65">
        <v>65</v>
      </c>
      <c r="B65">
        <f t="shared" ref="B65:B128" si="3">-3.14159265358979+(A65-1)*0.0125915537218028</f>
        <v>-2.335733215394411</v>
      </c>
      <c r="C65">
        <f t="shared" ref="C65:C128" si="4">1*COS(B65)+0</f>
        <v>-0.69249146973336373</v>
      </c>
      <c r="D65">
        <f t="shared" ref="D65:D128" si="5">1*SIN(B65)+0+0*COS(B65)</f>
        <v>-0.72142606297979406</v>
      </c>
    </row>
    <row r="66" spans="1:4" x14ac:dyDescent="0.3">
      <c r="A66">
        <v>66</v>
      </c>
      <c r="B66">
        <f t="shared" si="3"/>
        <v>-2.3231416616726079</v>
      </c>
      <c r="C66">
        <f t="shared" si="4"/>
        <v>-0.68335293916516338</v>
      </c>
      <c r="D66">
        <f t="shared" si="5"/>
        <v>-0.73008818682014875</v>
      </c>
    </row>
    <row r="67" spans="1:4" x14ac:dyDescent="0.3">
      <c r="A67">
        <v>67</v>
      </c>
      <c r="B67">
        <f t="shared" si="3"/>
        <v>-2.3105501079508053</v>
      </c>
      <c r="C67">
        <f t="shared" si="4"/>
        <v>-0.67410606631613368</v>
      </c>
      <c r="D67">
        <f t="shared" si="5"/>
        <v>-0.73863455873374106</v>
      </c>
    </row>
    <row r="68" spans="1:4" x14ac:dyDescent="0.3">
      <c r="A68">
        <v>68</v>
      </c>
      <c r="B68">
        <f t="shared" si="3"/>
        <v>-2.2979585542290026</v>
      </c>
      <c r="C68">
        <f t="shared" si="4"/>
        <v>-0.66475231723293549</v>
      </c>
      <c r="D68">
        <f t="shared" si="5"/>
        <v>-0.74706382373492208</v>
      </c>
    </row>
    <row r="69" spans="1:4" x14ac:dyDescent="0.3">
      <c r="A69">
        <v>69</v>
      </c>
      <c r="B69">
        <f t="shared" si="3"/>
        <v>-2.2853670005071995</v>
      </c>
      <c r="C69">
        <f t="shared" si="4"/>
        <v>-0.65529317490693662</v>
      </c>
      <c r="D69">
        <f t="shared" si="5"/>
        <v>-0.75537464540477328</v>
      </c>
    </row>
    <row r="70" spans="1:4" x14ac:dyDescent="0.3">
      <c r="A70">
        <v>70</v>
      </c>
      <c r="B70">
        <f t="shared" si="3"/>
        <v>-2.2727754467853969</v>
      </c>
      <c r="C70">
        <f t="shared" si="4"/>
        <v>-0.64573013903909071</v>
      </c>
      <c r="D70">
        <f t="shared" si="5"/>
        <v>-0.76356570610298924</v>
      </c>
    </row>
    <row r="71" spans="1:4" x14ac:dyDescent="0.3">
      <c r="A71">
        <v>71</v>
      </c>
      <c r="B71">
        <f t="shared" si="3"/>
        <v>-2.2601838930635942</v>
      </c>
      <c r="C71">
        <f t="shared" si="4"/>
        <v>-0.63606472580216611</v>
      </c>
      <c r="D71">
        <f t="shared" si="5"/>
        <v>-0.77163570717678376</v>
      </c>
    </row>
    <row r="72" spans="1:4" x14ac:dyDescent="0.3">
      <c r="A72">
        <v>72</v>
      </c>
      <c r="B72">
        <f t="shared" si="3"/>
        <v>-2.2475923393417911</v>
      </c>
      <c r="C72">
        <f t="shared" si="4"/>
        <v>-0.62629846760036412</v>
      </c>
      <c r="D72">
        <f t="shared" si="5"/>
        <v>-0.77958336916678495</v>
      </c>
    </row>
    <row r="73" spans="1:4" x14ac:dyDescent="0.3">
      <c r="A73">
        <v>73</v>
      </c>
      <c r="B73">
        <f t="shared" si="3"/>
        <v>-2.2350007856199885</v>
      </c>
      <c r="C73">
        <f t="shared" si="4"/>
        <v>-0.61643291282636525</v>
      </c>
      <c r="D73">
        <f t="shared" si="5"/>
        <v>-0.78740743200988572</v>
      </c>
    </row>
    <row r="74" spans="1:4" x14ac:dyDescent="0.3">
      <c r="A74">
        <v>74</v>
      </c>
      <c r="B74">
        <f t="shared" si="3"/>
        <v>-2.2224092318981858</v>
      </c>
      <c r="C74">
        <f t="shared" si="4"/>
        <v>-0.60646962561583695</v>
      </c>
      <c r="D74">
        <f t="shared" si="5"/>
        <v>-0.79510665523902302</v>
      </c>
    </row>
    <row r="75" spans="1:4" x14ac:dyDescent="0.3">
      <c r="A75">
        <v>75</v>
      </c>
      <c r="B75">
        <f t="shared" si="3"/>
        <v>-2.2098176781763827</v>
      </c>
      <c r="C75">
        <f t="shared" si="4"/>
        <v>-0.59641018559944858</v>
      </c>
      <c r="D75">
        <f t="shared" si="5"/>
        <v>-0.80267981817984635</v>
      </c>
    </row>
    <row r="76" spans="1:4" x14ac:dyDescent="0.3">
      <c r="A76">
        <v>76</v>
      </c>
      <c r="B76">
        <f t="shared" si="3"/>
        <v>-2.1972261244545801</v>
      </c>
      <c r="C76">
        <f t="shared" si="4"/>
        <v>-0.58625618765242993</v>
      </c>
      <c r="D76">
        <f t="shared" si="5"/>
        <v>-0.81012572014424955</v>
      </c>
    </row>
    <row r="77" spans="1:4" x14ac:dyDescent="0.3">
      <c r="A77">
        <v>77</v>
      </c>
      <c r="B77">
        <f t="shared" si="3"/>
        <v>-2.1846345707327774</v>
      </c>
      <c r="C77">
        <f t="shared" si="4"/>
        <v>-0.57600924164170875</v>
      </c>
      <c r="D77">
        <f t="shared" si="5"/>
        <v>-0.81744318062073507</v>
      </c>
    </row>
    <row r="78" spans="1:4" x14ac:dyDescent="0.3">
      <c r="A78">
        <v>78</v>
      </c>
      <c r="B78">
        <f t="shared" si="3"/>
        <v>-2.1720430170109744</v>
      </c>
      <c r="C78">
        <f t="shared" si="4"/>
        <v>-0.56567097217067575</v>
      </c>
      <c r="D78">
        <f t="shared" si="5"/>
        <v>-0.8246310394615779</v>
      </c>
    </row>
    <row r="79" spans="1:4" x14ac:dyDescent="0.3">
      <c r="A79">
        <v>79</v>
      </c>
      <c r="B79">
        <f t="shared" si="3"/>
        <v>-2.1594514632891717</v>
      </c>
      <c r="C79">
        <f t="shared" si="4"/>
        <v>-0.55524301832161305</v>
      </c>
      <c r="D79">
        <f t="shared" si="5"/>
        <v>-0.83168815706676069</v>
      </c>
    </row>
    <row r="80" spans="1:4" x14ac:dyDescent="0.3">
      <c r="A80">
        <v>80</v>
      </c>
      <c r="B80">
        <f t="shared" si="3"/>
        <v>-2.1468599095673691</v>
      </c>
      <c r="C80">
        <f t="shared" si="4"/>
        <v>-0.54472703339582262</v>
      </c>
      <c r="D80">
        <f t="shared" si="5"/>
        <v>-0.83861341456465288</v>
      </c>
    </row>
    <row r="81" spans="1:4" x14ac:dyDescent="0.3">
      <c r="A81">
        <v>81</v>
      </c>
      <c r="B81">
        <f t="shared" si="3"/>
        <v>-2.134268355845566</v>
      </c>
      <c r="C81">
        <f t="shared" si="4"/>
        <v>-0.5341246846515052</v>
      </c>
      <c r="D81">
        <f t="shared" si="5"/>
        <v>-0.84540571398940179</v>
      </c>
    </row>
    <row r="82" spans="1:4" x14ac:dyDescent="0.3">
      <c r="A82">
        <v>82</v>
      </c>
      <c r="B82">
        <f t="shared" si="3"/>
        <v>-2.1216768021237633</v>
      </c>
      <c r="C82">
        <f t="shared" si="4"/>
        <v>-0.52343765303942535</v>
      </c>
      <c r="D82">
        <f t="shared" si="5"/>
        <v>-0.85206397845500914</v>
      </c>
    </row>
    <row r="83" spans="1:4" x14ac:dyDescent="0.3">
      <c r="A83">
        <v>83</v>
      </c>
      <c r="B83">
        <f t="shared" si="3"/>
        <v>-2.1090852484019607</v>
      </c>
      <c r="C83">
        <f t="shared" si="4"/>
        <v>-0.51266763293640294</v>
      </c>
      <c r="D83">
        <f t="shared" si="5"/>
        <v>-0.85858715232606742</v>
      </c>
    </row>
    <row r="84" spans="1:4" x14ac:dyDescent="0.3">
      <c r="A84">
        <v>84</v>
      </c>
      <c r="B84">
        <f t="shared" si="3"/>
        <v>-2.0964936946801576</v>
      </c>
      <c r="C84">
        <f t="shared" si="4"/>
        <v>-0.50181633187667907</v>
      </c>
      <c r="D84">
        <f t="shared" si="5"/>
        <v>-0.86497420138512493</v>
      </c>
    </row>
    <row r="85" spans="1:4" x14ac:dyDescent="0.3">
      <c r="A85">
        <v>85</v>
      </c>
      <c r="B85">
        <f t="shared" si="3"/>
        <v>-2.0839021409583549</v>
      </c>
      <c r="C85">
        <f t="shared" si="4"/>
        <v>-0.4908854702811955</v>
      </c>
      <c r="D85">
        <f t="shared" si="5"/>
        <v>-0.8712241129966557</v>
      </c>
    </row>
    <row r="86" spans="1:4" x14ac:dyDescent="0.3">
      <c r="A86">
        <v>86</v>
      </c>
      <c r="B86">
        <f t="shared" si="3"/>
        <v>-2.0713105872365523</v>
      </c>
      <c r="C86">
        <f t="shared" si="4"/>
        <v>-0.47987678118482874</v>
      </c>
      <c r="D86">
        <f t="shared" si="5"/>
        <v>-0.87733589626760855</v>
      </c>
    </row>
    <row r="87" spans="1:4" x14ac:dyDescent="0.3">
      <c r="A87">
        <v>87</v>
      </c>
      <c r="B87">
        <f t="shared" si="3"/>
        <v>-2.0587190335147492</v>
      </c>
      <c r="C87">
        <f t="shared" si="4"/>
        <v>-0.4687920099616264</v>
      </c>
      <c r="D87">
        <f t="shared" si="5"/>
        <v>-0.88330858220450814</v>
      </c>
    </row>
    <row r="88" spans="1:4" x14ac:dyDescent="0.3">
      <c r="A88">
        <v>88</v>
      </c>
      <c r="B88">
        <f t="shared" si="3"/>
        <v>-2.0461274797929465</v>
      </c>
      <c r="C88">
        <f t="shared" si="4"/>
        <v>-0.45763291404808787</v>
      </c>
      <c r="D88">
        <f t="shared" si="5"/>
        <v>-0.88914122386708372</v>
      </c>
    </row>
    <row r="89" spans="1:4" x14ac:dyDescent="0.3">
      <c r="A89">
        <v>89</v>
      </c>
      <c r="B89">
        <f t="shared" si="3"/>
        <v>-2.0335359260711439</v>
      </c>
      <c r="C89">
        <f t="shared" si="4"/>
        <v>-0.44640126266452929</v>
      </c>
      <c r="D89">
        <f t="shared" si="5"/>
        <v>-0.89483289651840248</v>
      </c>
    </row>
    <row r="90" spans="1:4" x14ac:dyDescent="0.3">
      <c r="A90">
        <v>90</v>
      </c>
      <c r="B90">
        <f t="shared" si="3"/>
        <v>-2.0209443723493408</v>
      </c>
      <c r="C90">
        <f t="shared" si="4"/>
        <v>-0.43509883653458314</v>
      </c>
      <c r="D90">
        <f t="shared" si="5"/>
        <v>-0.90038269777148217</v>
      </c>
    </row>
    <row r="91" spans="1:4" x14ac:dyDescent="0.3">
      <c r="A91">
        <v>91</v>
      </c>
      <c r="B91">
        <f t="shared" si="3"/>
        <v>-2.0083528186275381</v>
      </c>
      <c r="C91">
        <f t="shared" si="4"/>
        <v>-0.42372742760287452</v>
      </c>
      <c r="D91">
        <f t="shared" si="5"/>
        <v>-0.9057897477323591</v>
      </c>
    </row>
    <row r="92" spans="1:4" x14ac:dyDescent="0.3">
      <c r="A92">
        <v>92</v>
      </c>
      <c r="B92">
        <f t="shared" si="3"/>
        <v>-1.9957612649057352</v>
      </c>
      <c r="C92">
        <f t="shared" si="4"/>
        <v>-0.41228883875091432</v>
      </c>
      <c r="D92">
        <f t="shared" si="5"/>
        <v>-0.91105318913959277</v>
      </c>
    </row>
    <row r="93" spans="1:4" x14ac:dyDescent="0.3">
      <c r="A93">
        <v>93</v>
      </c>
      <c r="B93">
        <f t="shared" si="3"/>
        <v>-1.9831697111839324</v>
      </c>
      <c r="C93">
        <f t="shared" si="4"/>
        <v>-0.40078488351126368</v>
      </c>
      <c r="D93">
        <f t="shared" si="5"/>
        <v>-0.91617218750017881</v>
      </c>
    </row>
    <row r="94" spans="1:4" x14ac:dyDescent="0.3">
      <c r="A94">
        <v>94</v>
      </c>
      <c r="B94">
        <f t="shared" si="3"/>
        <v>-1.9705781574621297</v>
      </c>
      <c r="C94">
        <f t="shared" si="4"/>
        <v>-0.38921738578000598</v>
      </c>
      <c r="D94">
        <f t="shared" si="5"/>
        <v>-0.92114593122185473</v>
      </c>
    </row>
    <row r="95" spans="1:4" x14ac:dyDescent="0.3">
      <c r="A95">
        <v>95</v>
      </c>
      <c r="B95">
        <f t="shared" si="3"/>
        <v>-1.9579866037403268</v>
      </c>
      <c r="C95">
        <f t="shared" si="4"/>
        <v>-0.37758817952757667</v>
      </c>
      <c r="D95">
        <f t="shared" si="5"/>
        <v>-0.92597363174177405</v>
      </c>
    </row>
    <row r="96" spans="1:4" x14ac:dyDescent="0.3">
      <c r="A96">
        <v>96</v>
      </c>
      <c r="B96">
        <f t="shared" si="3"/>
        <v>-1.945395050018524</v>
      </c>
      <c r="C96">
        <f t="shared" si="4"/>
        <v>-0.36589910850799745</v>
      </c>
      <c r="D96">
        <f t="shared" si="5"/>
        <v>-0.93065452365152812</v>
      </c>
    </row>
    <row r="97" spans="1:4" x14ac:dyDescent="0.3">
      <c r="A97">
        <v>97</v>
      </c>
      <c r="B97">
        <f t="shared" si="3"/>
        <v>-1.9328034962967213</v>
      </c>
      <c r="C97">
        <f t="shared" si="4"/>
        <v>-0.3541520259665572</v>
      </c>
      <c r="D97">
        <f t="shared" si="5"/>
        <v>-0.93518786481849892</v>
      </c>
    </row>
    <row r="98" spans="1:4" x14ac:dyDescent="0.3">
      <c r="A98">
        <v>98</v>
      </c>
      <c r="B98">
        <f t="shared" si="3"/>
        <v>-1.9202119425749185</v>
      </c>
      <c r="C98">
        <f t="shared" si="4"/>
        <v>-0.34234879434598847</v>
      </c>
      <c r="D98">
        <f t="shared" si="5"/>
        <v>-0.93957293650352025</v>
      </c>
    </row>
    <row r="99" spans="1:4" x14ac:dyDescent="0.3">
      <c r="A99">
        <v>99</v>
      </c>
      <c r="B99">
        <f t="shared" si="3"/>
        <v>-1.9076203888531156</v>
      </c>
      <c r="C99">
        <f t="shared" si="4"/>
        <v>-0.33049128499118763</v>
      </c>
      <c r="D99">
        <f t="shared" si="5"/>
        <v>-0.94380904347483008</v>
      </c>
    </row>
    <row r="100" spans="1:4" x14ac:dyDescent="0.3">
      <c r="A100">
        <v>100</v>
      </c>
      <c r="B100">
        <f t="shared" si="3"/>
        <v>-1.8950288351313127</v>
      </c>
      <c r="C100">
        <f t="shared" si="4"/>
        <v>-0.31858137785252122</v>
      </c>
      <c r="D100">
        <f t="shared" si="5"/>
        <v>-0.9478955141182962</v>
      </c>
    </row>
    <row r="101" spans="1:4" x14ac:dyDescent="0.3">
      <c r="A101">
        <v>101</v>
      </c>
      <c r="B101">
        <f t="shared" si="3"/>
        <v>-1.8824372814095101</v>
      </c>
      <c r="C101">
        <f t="shared" si="4"/>
        <v>-0.30662096118776938</v>
      </c>
      <c r="D101">
        <f t="shared" si="5"/>
        <v>-0.95183170054389787</v>
      </c>
    </row>
    <row r="102" spans="1:4" x14ac:dyDescent="0.3">
      <c r="A102">
        <v>102</v>
      </c>
      <c r="B102">
        <f t="shared" si="3"/>
        <v>-1.8698457276877072</v>
      </c>
      <c r="C102">
        <f t="shared" si="4"/>
        <v>-0.2946119312627512</v>
      </c>
      <c r="D102">
        <f t="shared" si="5"/>
        <v>-0.95561697868844497</v>
      </c>
    </row>
    <row r="103" spans="1:4" x14ac:dyDescent="0.3">
      <c r="A103">
        <v>103</v>
      </c>
      <c r="B103">
        <f t="shared" si="3"/>
        <v>-1.8572541739659043</v>
      </c>
      <c r="C103">
        <f t="shared" si="4"/>
        <v>-0.28255619205068194</v>
      </c>
      <c r="D103">
        <f t="shared" si="5"/>
        <v>-0.95925074841452074</v>
      </c>
    </row>
    <row r="104" spans="1:4" x14ac:dyDescent="0.3">
      <c r="A104">
        <v>104</v>
      </c>
      <c r="B104">
        <f t="shared" si="3"/>
        <v>-1.8446626202441017</v>
      </c>
      <c r="C104">
        <f t="shared" si="4"/>
        <v>-0.27045565493030693</v>
      </c>
      <c r="D104">
        <f t="shared" si="5"/>
        <v>-0.96273243360562999</v>
      </c>
    </row>
    <row r="105" spans="1:4" x14ac:dyDescent="0.3">
      <c r="A105">
        <v>105</v>
      </c>
      <c r="B105">
        <f t="shared" si="3"/>
        <v>-1.8320710665222988</v>
      </c>
      <c r="C105">
        <f t="shared" si="4"/>
        <v>-0.25831223838286105</v>
      </c>
      <c r="D105">
        <f t="shared" si="5"/>
        <v>-0.9660614822575404</v>
      </c>
    </row>
    <row r="106" spans="1:4" x14ac:dyDescent="0.3">
      <c r="A106">
        <v>106</v>
      </c>
      <c r="B106">
        <f t="shared" si="3"/>
        <v>-1.8194795128004959</v>
      </c>
      <c r="C106">
        <f t="shared" si="4"/>
        <v>-0.24612786768790421</v>
      </c>
      <c r="D106">
        <f t="shared" si="5"/>
        <v>-0.96923736656579929</v>
      </c>
    </row>
    <row r="107" spans="1:4" x14ac:dyDescent="0.3">
      <c r="A107">
        <v>107</v>
      </c>
      <c r="B107">
        <f t="shared" si="3"/>
        <v>-1.8068879590786933</v>
      </c>
      <c r="C107">
        <f t="shared" si="4"/>
        <v>-0.2339044746180769</v>
      </c>
      <c r="D107">
        <f t="shared" si="5"/>
        <v>-0.97225958300941495</v>
      </c>
    </row>
    <row r="108" spans="1:4" x14ac:dyDescent="0.3">
      <c r="A108">
        <v>108</v>
      </c>
      <c r="B108">
        <f t="shared" si="3"/>
        <v>-1.7942964053568904</v>
      </c>
      <c r="C108">
        <f t="shared" si="4"/>
        <v>-0.22164399713282656</v>
      </c>
      <c r="D108">
        <f t="shared" si="5"/>
        <v>-0.97512765243068744</v>
      </c>
    </row>
    <row r="109" spans="1:4" x14ac:dyDescent="0.3">
      <c r="A109">
        <v>109</v>
      </c>
      <c r="B109">
        <f t="shared" si="3"/>
        <v>-1.7817048516350875</v>
      </c>
      <c r="C109">
        <f t="shared" si="4"/>
        <v>-0.20934837907115472</v>
      </c>
      <c r="D109">
        <f t="shared" si="5"/>
        <v>-0.97784112011117641</v>
      </c>
    </row>
    <row r="110" spans="1:4" x14ac:dyDescent="0.3">
      <c r="A110">
        <v>110</v>
      </c>
      <c r="B110">
        <f t="shared" si="3"/>
        <v>-1.7691132979132849</v>
      </c>
      <c r="C110">
        <f t="shared" si="4"/>
        <v>-0.19701956984343019</v>
      </c>
      <c r="D110">
        <f t="shared" si="5"/>
        <v>-0.98039955584379457</v>
      </c>
    </row>
    <row r="111" spans="1:4" x14ac:dyDescent="0.3">
      <c r="A111">
        <v>111</v>
      </c>
      <c r="B111">
        <f t="shared" si="3"/>
        <v>-1.756521744191482</v>
      </c>
      <c r="C111">
        <f t="shared" si="4"/>
        <v>-0.18465952412231887</v>
      </c>
      <c r="D111">
        <f t="shared" si="5"/>
        <v>-0.98280255400101535</v>
      </c>
    </row>
    <row r="112" spans="1:4" x14ac:dyDescent="0.3">
      <c r="A112">
        <v>112</v>
      </c>
      <c r="B112">
        <f t="shared" si="3"/>
        <v>-1.7439301904696791</v>
      </c>
      <c r="C112">
        <f t="shared" si="4"/>
        <v>-0.17227020153288122</v>
      </c>
      <c r="D112">
        <f t="shared" si="5"/>
        <v>-0.98504973359918258</v>
      </c>
    </row>
    <row r="113" spans="1:4" x14ac:dyDescent="0.3">
      <c r="A113">
        <v>113</v>
      </c>
      <c r="B113">
        <f t="shared" si="3"/>
        <v>-1.7313386367478765</v>
      </c>
      <c r="C113">
        <f t="shared" si="4"/>
        <v>-0.15985356634188264</v>
      </c>
      <c r="D113">
        <f t="shared" si="5"/>
        <v>-0.98714073835891369</v>
      </c>
    </row>
    <row r="114" spans="1:4" x14ac:dyDescent="0.3">
      <c r="A114">
        <v>114</v>
      </c>
      <c r="B114">
        <f t="shared" si="3"/>
        <v>-1.7187470830260736</v>
      </c>
      <c r="C114">
        <f t="shared" si="4"/>
        <v>-0.14741158714636779</v>
      </c>
      <c r="D114">
        <f t="shared" si="5"/>
        <v>-0.98907523676158671</v>
      </c>
    </row>
    <row r="115" spans="1:4" x14ac:dyDescent="0.3">
      <c r="A115">
        <v>115</v>
      </c>
      <c r="B115">
        <f t="shared" si="3"/>
        <v>-1.7061555293042707</v>
      </c>
      <c r="C115">
        <f t="shared" si="4"/>
        <v>-0.13494623656155053</v>
      </c>
      <c r="D115">
        <f t="shared" si="5"/>
        <v>-0.99085292210190001</v>
      </c>
    </row>
    <row r="116" spans="1:4" x14ac:dyDescent="0.3">
      <c r="A116">
        <v>116</v>
      </c>
      <c r="B116">
        <f t="shared" si="3"/>
        <v>-1.6935639755824681</v>
      </c>
      <c r="C116">
        <f t="shared" si="4"/>
        <v>-0.1224594909080647</v>
      </c>
      <c r="D116">
        <f t="shared" si="5"/>
        <v>-0.99247351253649974</v>
      </c>
    </row>
    <row r="117" spans="1:4" x14ac:dyDescent="0.3">
      <c r="A117">
        <v>117</v>
      </c>
      <c r="B117">
        <f t="shared" si="3"/>
        <v>-1.6809724218606652</v>
      </c>
      <c r="C117">
        <f t="shared" si="4"/>
        <v>-0.1099533298986274</v>
      </c>
      <c r="D117">
        <f t="shared" si="5"/>
        <v>-0.99393675112866398</v>
      </c>
    </row>
    <row r="118" spans="1:4" x14ac:dyDescent="0.3">
      <c r="A118">
        <v>118</v>
      </c>
      <c r="B118">
        <f t="shared" si="3"/>
        <v>-1.6683808681388623</v>
      </c>
      <c r="C118">
        <f t="shared" si="4"/>
        <v>-9.7429736324166516E-2</v>
      </c>
      <c r="D118">
        <f t="shared" si="5"/>
        <v>-0.99524240588903934</v>
      </c>
    </row>
    <row r="119" spans="1:4" x14ac:dyDescent="0.3">
      <c r="A119">
        <v>119</v>
      </c>
      <c r="B119">
        <f t="shared" si="3"/>
        <v>-1.6557893144170597</v>
      </c>
      <c r="C119">
        <f t="shared" si="4"/>
        <v>-8.4890695739458288E-2</v>
      </c>
      <c r="D119">
        <f t="shared" si="5"/>
        <v>-0.99639026981242185</v>
      </c>
    </row>
    <row r="120" spans="1:4" x14ac:dyDescent="0.3">
      <c r="A120">
        <v>120</v>
      </c>
      <c r="B120">
        <f t="shared" si="3"/>
        <v>-1.6431977606952568</v>
      </c>
      <c r="C120">
        <f t="shared" si="4"/>
        <v>-7.2338196148326483E-2</v>
      </c>
      <c r="D120">
        <f t="shared" si="5"/>
        <v>-0.99738016091057591</v>
      </c>
    </row>
    <row r="121" spans="1:4" x14ac:dyDescent="0.3">
      <c r="A121">
        <v>121</v>
      </c>
      <c r="B121">
        <f t="shared" si="3"/>
        <v>-1.6306062069734539</v>
      </c>
      <c r="C121">
        <f t="shared" si="4"/>
        <v>-5.9774227688455507E-2</v>
      </c>
      <c r="D121">
        <f t="shared" si="5"/>
        <v>-0.99821192224108835</v>
      </c>
    </row>
    <row r="122" spans="1:4" x14ac:dyDescent="0.3">
      <c r="A122">
        <v>122</v>
      </c>
      <c r="B122">
        <f t="shared" si="3"/>
        <v>-1.6180146532516513</v>
      </c>
      <c r="C122">
        <f t="shared" si="4"/>
        <v>-4.720078231586302E-2</v>
      </c>
      <c r="D122">
        <f t="shared" si="5"/>
        <v>-0.99888542193225072</v>
      </c>
    </row>
    <row r="123" spans="1:4" x14ac:dyDescent="0.3">
      <c r="A123">
        <v>123</v>
      </c>
      <c r="B123">
        <f t="shared" si="3"/>
        <v>-1.6054230995298484</v>
      </c>
      <c r="C123">
        <f t="shared" si="4"/>
        <v>-3.4619853489084404E-2</v>
      </c>
      <c r="D123">
        <f t="shared" si="5"/>
        <v>-0.99940055320396648</v>
      </c>
    </row>
    <row r="124" spans="1:4" x14ac:dyDescent="0.3">
      <c r="A124">
        <v>124</v>
      </c>
      <c r="B124">
        <f t="shared" si="3"/>
        <v>-1.5928315458080455</v>
      </c>
      <c r="C124">
        <f t="shared" si="4"/>
        <v>-2.2033435853120915E-2</v>
      </c>
      <c r="D124">
        <f t="shared" si="5"/>
        <v>-0.99975723438468123</v>
      </c>
    </row>
    <row r="125" spans="1:4" x14ac:dyDescent="0.3">
      <c r="A125">
        <v>125</v>
      </c>
      <c r="B125">
        <f t="shared" si="3"/>
        <v>-1.5802399920862429</v>
      </c>
      <c r="C125">
        <f t="shared" si="4"/>
        <v>-9.4435249231977821E-3</v>
      </c>
      <c r="D125">
        <f t="shared" si="5"/>
        <v>-0.99995540892433044</v>
      </c>
    </row>
    <row r="126" spans="1:4" x14ac:dyDescent="0.3">
      <c r="A126">
        <v>126</v>
      </c>
      <c r="B126">
        <f t="shared" si="3"/>
        <v>-1.56764843836444</v>
      </c>
      <c r="C126">
        <f t="shared" si="4"/>
        <v>3.1478832316156873E-3</v>
      </c>
      <c r="D126">
        <f t="shared" si="5"/>
        <v>-0.99999504540330608</v>
      </c>
    </row>
    <row r="127" spans="1:4" x14ac:dyDescent="0.3">
      <c r="A127">
        <v>127</v>
      </c>
      <c r="B127">
        <f t="shared" si="3"/>
        <v>-1.5550568846426371</v>
      </c>
      <c r="C127">
        <f t="shared" si="4"/>
        <v>1.5738792304871806E-2</v>
      </c>
      <c r="D127">
        <f t="shared" si="5"/>
        <v>-0.9998761375374372</v>
      </c>
    </row>
    <row r="128" spans="1:4" x14ac:dyDescent="0.3">
      <c r="A128">
        <v>128</v>
      </c>
      <c r="B128">
        <f t="shared" si="3"/>
        <v>-1.5424653309208345</v>
      </c>
      <c r="C128">
        <f t="shared" si="4"/>
        <v>2.8327206069249836E-2</v>
      </c>
      <c r="D128">
        <f t="shared" si="5"/>
        <v>-0.99959870417898711</v>
      </c>
    </row>
    <row r="129" spans="1:4" x14ac:dyDescent="0.3">
      <c r="A129">
        <v>129</v>
      </c>
      <c r="B129">
        <f t="shared" ref="B129:B192" si="6">-3.14159265358979+(A129-1)*0.0125915537218028</f>
        <v>-1.5298737771990316</v>
      </c>
      <c r="C129">
        <f t="shared" ref="C129:C192" si="7">1*COS(B129)+0</f>
        <v>4.0911128693048776E-2</v>
      </c>
      <c r="D129">
        <f t="shared" ref="D129:D192" si="8">1*SIN(B129)+0+0*COS(B129)</f>
        <v>-0.99916278931366376</v>
      </c>
    </row>
    <row r="130" spans="1:4" x14ac:dyDescent="0.3">
      <c r="A130">
        <v>130</v>
      </c>
      <c r="B130">
        <f t="shared" si="6"/>
        <v>-1.5172822234772287</v>
      </c>
      <c r="C130">
        <f t="shared" si="7"/>
        <v>5.3488565056615429E-2</v>
      </c>
      <c r="D130">
        <f t="shared" si="8"/>
        <v>-0.99856846205364613</v>
      </c>
    </row>
    <row r="131" spans="1:4" x14ac:dyDescent="0.3">
      <c r="A131">
        <v>131</v>
      </c>
      <c r="B131">
        <f t="shared" si="6"/>
        <v>-1.5046906697554261</v>
      </c>
      <c r="C131">
        <f t="shared" si="7"/>
        <v>6.605752106866157E-2</v>
      </c>
      <c r="D131">
        <f t="shared" si="8"/>
        <v>-0.99781581662662744</v>
      </c>
    </row>
    <row r="132" spans="1:4" x14ac:dyDescent="0.3">
      <c r="A132">
        <v>132</v>
      </c>
      <c r="B132">
        <f t="shared" si="6"/>
        <v>-1.4920991160336232</v>
      </c>
      <c r="C132">
        <f t="shared" si="7"/>
        <v>7.8616003982418081E-2</v>
      </c>
      <c r="D132">
        <f t="shared" si="8"/>
        <v>-0.99690497236087472</v>
      </c>
    </row>
    <row r="133" spans="1:4" x14ac:dyDescent="0.3">
      <c r="A133">
        <v>133</v>
      </c>
      <c r="B133">
        <f t="shared" si="6"/>
        <v>-1.4795075623118203</v>
      </c>
      <c r="C133">
        <f t="shared" si="7"/>
        <v>9.1162022711573906E-2</v>
      </c>
      <c r="D133">
        <f t="shared" si="8"/>
        <v>-0.99583607366631099</v>
      </c>
    </row>
    <row r="134" spans="1:4" x14ac:dyDescent="0.3">
      <c r="A134">
        <v>134</v>
      </c>
      <c r="B134">
        <f t="shared" si="6"/>
        <v>-1.4669160085900177</v>
      </c>
      <c r="C134">
        <f t="shared" si="7"/>
        <v>0.10369358814595377</v>
      </c>
      <c r="D134">
        <f t="shared" si="8"/>
        <v>-0.99460929001161924</v>
      </c>
    </row>
    <row r="135" spans="1:4" x14ac:dyDescent="0.3">
      <c r="A135">
        <v>135</v>
      </c>
      <c r="B135">
        <f t="shared" si="6"/>
        <v>-1.4543244548682148</v>
      </c>
      <c r="C135">
        <f t="shared" si="7"/>
        <v>0.11620871346688255</v>
      </c>
      <c r="D135">
        <f t="shared" si="8"/>
        <v>-0.99322481589737377</v>
      </c>
    </row>
    <row r="136" spans="1:4" x14ac:dyDescent="0.3">
      <c r="A136">
        <v>136</v>
      </c>
      <c r="B136">
        <f t="shared" si="6"/>
        <v>-1.4417329011464119</v>
      </c>
      <c r="C136">
        <f t="shared" si="7"/>
        <v>0.12870541446218442</v>
      </c>
      <c r="D136">
        <f t="shared" si="8"/>
        <v>-0.99168287082520357</v>
      </c>
    </row>
    <row r="137" spans="1:4" x14ac:dyDescent="0.3">
      <c r="A137">
        <v>137</v>
      </c>
      <c r="B137">
        <f t="shared" si="6"/>
        <v>-1.4291413474246093</v>
      </c>
      <c r="C137">
        <f t="shared" si="7"/>
        <v>0.14118170984077064</v>
      </c>
      <c r="D137">
        <f t="shared" si="8"/>
        <v>-0.98998369926299112</v>
      </c>
    </row>
    <row r="138" spans="1:4" x14ac:dyDescent="0.3">
      <c r="A138">
        <v>138</v>
      </c>
      <c r="B138">
        <f t="shared" si="6"/>
        <v>-1.4165497937028064</v>
      </c>
      <c r="C138">
        <f t="shared" si="7"/>
        <v>0.1536356215467643</v>
      </c>
      <c r="D138">
        <f t="shared" si="8"/>
        <v>-0.98812757060611334</v>
      </c>
    </row>
    <row r="139" spans="1:4" x14ac:dyDescent="0.3">
      <c r="A139">
        <v>139</v>
      </c>
      <c r="B139">
        <f t="shared" si="6"/>
        <v>-1.4039582399810036</v>
      </c>
      <c r="C139">
        <f t="shared" si="7"/>
        <v>0.16606517507311008</v>
      </c>
      <c r="D139">
        <f t="shared" si="8"/>
        <v>-0.98611477913473</v>
      </c>
    </row>
    <row r="140" spans="1:4" x14ac:dyDescent="0.3">
      <c r="A140">
        <v>140</v>
      </c>
      <c r="B140">
        <f t="shared" si="6"/>
        <v>-1.3913666862592009</v>
      </c>
      <c r="C140">
        <f t="shared" si="7"/>
        <v>0.17846839977462353</v>
      </c>
      <c r="D140">
        <f t="shared" si="8"/>
        <v>-0.98394564396712747</v>
      </c>
    </row>
    <row r="141" spans="1:4" x14ac:dyDescent="0.3">
      <c r="A141">
        <v>141</v>
      </c>
      <c r="B141">
        <f t="shared" si="6"/>
        <v>-1.378775132537398</v>
      </c>
      <c r="C141">
        <f t="shared" si="7"/>
        <v>0.19084332918042771</v>
      </c>
      <c r="D141">
        <f t="shared" si="8"/>
        <v>-0.98162050900912357</v>
      </c>
    </row>
    <row r="142" spans="1:4" x14ac:dyDescent="0.3">
      <c r="A142">
        <v>142</v>
      </c>
      <c r="B142">
        <f t="shared" si="6"/>
        <v>-1.3661835788155952</v>
      </c>
      <c r="C142">
        <f t="shared" si="7"/>
        <v>0.20318800130572645</v>
      </c>
      <c r="D142">
        <f t="shared" si="8"/>
        <v>-0.97913974289954353</v>
      </c>
    </row>
    <row r="143" spans="1:4" x14ac:dyDescent="0.3">
      <c r="A143">
        <v>143</v>
      </c>
      <c r="B143">
        <f t="shared" si="6"/>
        <v>-1.3535920250937925</v>
      </c>
      <c r="C143">
        <f t="shared" si="7"/>
        <v>0.21550045896286801</v>
      </c>
      <c r="D143">
        <f t="shared" si="8"/>
        <v>-0.97650373895177345</v>
      </c>
    </row>
    <row r="144" spans="1:4" x14ac:dyDescent="0.3">
      <c r="A144">
        <v>144</v>
      </c>
      <c r="B144">
        <f t="shared" si="6"/>
        <v>-1.3410004713719896</v>
      </c>
      <c r="C144">
        <f t="shared" si="7"/>
        <v>0.22777875007164838</v>
      </c>
      <c r="D144">
        <f t="shared" si="8"/>
        <v>-0.9737129150914029</v>
      </c>
    </row>
    <row r="145" spans="1:4" x14ac:dyDescent="0.3">
      <c r="A145">
        <v>145</v>
      </c>
      <c r="B145">
        <f t="shared" si="6"/>
        <v>-1.3284089176501868</v>
      </c>
      <c r="C145">
        <f t="shared" si="7"/>
        <v>0.24002092796880276</v>
      </c>
      <c r="D145">
        <f t="shared" si="8"/>
        <v>-0.97076771378996474</v>
      </c>
    </row>
    <row r="146" spans="1:4" x14ac:dyDescent="0.3">
      <c r="A146">
        <v>146</v>
      </c>
      <c r="B146">
        <f t="shared" si="6"/>
        <v>-1.3158173639283841</v>
      </c>
      <c r="C146">
        <f t="shared" si="7"/>
        <v>0.25222505171664023</v>
      </c>
      <c r="D146">
        <f t="shared" si="8"/>
        <v>-0.96766860199478322</v>
      </c>
    </row>
    <row r="147" spans="1:4" x14ac:dyDescent="0.3">
      <c r="A147">
        <v>147</v>
      </c>
      <c r="B147">
        <f t="shared" si="6"/>
        <v>-1.3032258102065812</v>
      </c>
      <c r="C147">
        <f t="shared" si="7"/>
        <v>0.26438918641077053</v>
      </c>
      <c r="D147">
        <f t="shared" si="8"/>
        <v>-0.96441607105494198</v>
      </c>
    </row>
    <row r="148" spans="1:4" x14ac:dyDescent="0.3">
      <c r="A148">
        <v>148</v>
      </c>
      <c r="B148">
        <f t="shared" si="6"/>
        <v>-1.2906342564847784</v>
      </c>
      <c r="C148">
        <f t="shared" si="7"/>
        <v>0.27651140348687248</v>
      </c>
      <c r="D148">
        <f t="shared" si="8"/>
        <v>-0.96101063664338282</v>
      </c>
    </row>
    <row r="149" spans="1:4" x14ac:dyDescent="0.3">
      <c r="A149">
        <v>149</v>
      </c>
      <c r="B149">
        <f t="shared" si="6"/>
        <v>-1.2780427027629757</v>
      </c>
      <c r="C149">
        <f t="shared" si="7"/>
        <v>0.28858978102645916</v>
      </c>
      <c r="D149">
        <f t="shared" si="8"/>
        <v>-0.95745283867514874</v>
      </c>
    </row>
    <row r="150" spans="1:4" x14ac:dyDescent="0.3">
      <c r="A150">
        <v>150</v>
      </c>
      <c r="B150">
        <f t="shared" si="6"/>
        <v>-1.2654511490411728</v>
      </c>
      <c r="C150">
        <f t="shared" si="7"/>
        <v>0.3006224040615893</v>
      </c>
      <c r="D150">
        <f t="shared" si="8"/>
        <v>-0.95374324122178211</v>
      </c>
    </row>
    <row r="151" spans="1:4" x14ac:dyDescent="0.3">
      <c r="A151">
        <v>151</v>
      </c>
      <c r="B151">
        <f t="shared" si="6"/>
        <v>-1.25285959531937</v>
      </c>
      <c r="C151">
        <f t="shared" si="7"/>
        <v>0.3126073648784749</v>
      </c>
      <c r="D151">
        <f t="shared" si="8"/>
        <v>-0.94988243242189507</v>
      </c>
    </row>
    <row r="152" spans="1:4" x14ac:dyDescent="0.3">
      <c r="A152">
        <v>152</v>
      </c>
      <c r="B152">
        <f t="shared" si="6"/>
        <v>-1.2402680415975673</v>
      </c>
      <c r="C152">
        <f t="shared" si="7"/>
        <v>0.32454276331994053</v>
      </c>
      <c r="D152">
        <f t="shared" si="8"/>
        <v>-0.94587102438792203</v>
      </c>
    </row>
    <row r="153" spans="1:4" x14ac:dyDescent="0.3">
      <c r="A153">
        <v>153</v>
      </c>
      <c r="B153">
        <f t="shared" si="6"/>
        <v>-1.2276764878757644</v>
      </c>
      <c r="C153">
        <f t="shared" si="7"/>
        <v>0.33642670708668465</v>
      </c>
      <c r="D153">
        <f t="shared" si="8"/>
        <v>-0.94170965310907273</v>
      </c>
    </row>
    <row r="154" spans="1:4" x14ac:dyDescent="0.3">
      <c r="A154">
        <v>154</v>
      </c>
      <c r="B154">
        <f t="shared" si="6"/>
        <v>-1.2150849341539616</v>
      </c>
      <c r="C154">
        <f t="shared" si="7"/>
        <v>0.34825731203729327</v>
      </c>
      <c r="D154">
        <f t="shared" si="8"/>
        <v>-0.93739897835049901</v>
      </c>
    </row>
    <row r="155" spans="1:4" x14ac:dyDescent="0.3">
      <c r="A155">
        <v>155</v>
      </c>
      <c r="B155">
        <f t="shared" si="6"/>
        <v>-1.2024933804321589</v>
      </c>
      <c r="C155">
        <f t="shared" si="7"/>
        <v>0.36003270248696184</v>
      </c>
      <c r="D155">
        <f t="shared" si="8"/>
        <v>-0.93293968354869272</v>
      </c>
    </row>
    <row r="156" spans="1:4" x14ac:dyDescent="0.3">
      <c r="A156">
        <v>156</v>
      </c>
      <c r="B156">
        <f t="shared" si="6"/>
        <v>-1.189901826710356</v>
      </c>
      <c r="C156">
        <f t="shared" si="7"/>
        <v>0.37175101150487677</v>
      </c>
      <c r="D156">
        <f t="shared" si="8"/>
        <v>-0.92833247570312916</v>
      </c>
    </row>
    <row r="157" spans="1:4" x14ac:dyDescent="0.3">
      <c r="A157">
        <v>157</v>
      </c>
      <c r="B157">
        <f t="shared" si="6"/>
        <v>-1.1773102729885532</v>
      </c>
      <c r="C157">
        <f t="shared" si="7"/>
        <v>0.38341038121020693</v>
      </c>
      <c r="D157">
        <f t="shared" si="8"/>
        <v>-0.92357808526417717</v>
      </c>
    </row>
    <row r="158" spans="1:4" x14ac:dyDescent="0.3">
      <c r="A158">
        <v>158</v>
      </c>
      <c r="B158">
        <f t="shared" si="6"/>
        <v>-1.1647187192667505</v>
      </c>
      <c r="C158">
        <f t="shared" si="7"/>
        <v>0.39500896306666211</v>
      </c>
      <c r="D158">
        <f t="shared" si="8"/>
        <v>-0.91867726601728883</v>
      </c>
    </row>
    <row r="159" spans="1:4" x14ac:dyDescent="0.3">
      <c r="A159">
        <v>159</v>
      </c>
      <c r="B159">
        <f t="shared" si="6"/>
        <v>-1.1521271655449477</v>
      </c>
      <c r="C159">
        <f t="shared" si="7"/>
        <v>0.40654491817557015</v>
      </c>
      <c r="D159">
        <f t="shared" si="8"/>
        <v>-0.9136307949634902</v>
      </c>
    </row>
    <row r="160" spans="1:4" x14ac:dyDescent="0.3">
      <c r="A160">
        <v>160</v>
      </c>
      <c r="B160">
        <f t="shared" si="6"/>
        <v>-1.139535611823145</v>
      </c>
      <c r="C160">
        <f t="shared" si="7"/>
        <v>0.41801641756742391</v>
      </c>
      <c r="D160">
        <f t="shared" si="8"/>
        <v>-0.9084394721961927</v>
      </c>
    </row>
    <row r="161" spans="1:4" x14ac:dyDescent="0.3">
      <c r="A161">
        <v>161</v>
      </c>
      <c r="B161">
        <f t="shared" si="6"/>
        <v>-1.1269440581013419</v>
      </c>
      <c r="C161">
        <f t="shared" si="7"/>
        <v>0.42942164249185744</v>
      </c>
      <c r="D161">
        <f t="shared" si="8"/>
        <v>-0.90310412077434099</v>
      </c>
    </row>
    <row r="162" spans="1:4" x14ac:dyDescent="0.3">
      <c r="A162">
        <v>162</v>
      </c>
      <c r="B162">
        <f t="shared" si="6"/>
        <v>-1.1143525043795393</v>
      </c>
      <c r="C162">
        <f t="shared" si="7"/>
        <v>0.44075878470599728</v>
      </c>
      <c r="D162">
        <f t="shared" si="8"/>
        <v>-0.89762558659192215</v>
      </c>
    </row>
    <row r="163" spans="1:4" x14ac:dyDescent="0.3">
      <c r="A163">
        <v>163</v>
      </c>
      <c r="B163">
        <f t="shared" si="6"/>
        <v>-1.1017609506577366</v>
      </c>
      <c r="C163">
        <f t="shared" si="7"/>
        <v>0.45202604676115354</v>
      </c>
      <c r="D163">
        <f t="shared" si="8"/>
        <v>-0.89200473824385229</v>
      </c>
    </row>
    <row r="164" spans="1:4" x14ac:dyDescent="0.3">
      <c r="A164">
        <v>164</v>
      </c>
      <c r="B164">
        <f t="shared" si="6"/>
        <v>-1.0891693969359335</v>
      </c>
      <c r="C164">
        <f t="shared" si="7"/>
        <v>0.46322164228779505</v>
      </c>
      <c r="D164">
        <f t="shared" si="8"/>
        <v>-0.88624246688826536</v>
      </c>
    </row>
    <row r="165" spans="1:4" x14ac:dyDescent="0.3">
      <c r="A165">
        <v>165</v>
      </c>
      <c r="B165">
        <f t="shared" si="6"/>
        <v>-1.0765778432141309</v>
      </c>
      <c r="C165">
        <f t="shared" si="7"/>
        <v>0.47434379627876877</v>
      </c>
      <c r="D165">
        <f t="shared" si="8"/>
        <v>-0.88033968610522495</v>
      </c>
    </row>
    <row r="166" spans="1:4" x14ac:dyDescent="0.3">
      <c r="A166">
        <v>166</v>
      </c>
      <c r="B166">
        <f t="shared" si="6"/>
        <v>-1.0639862894923282</v>
      </c>
      <c r="C166">
        <f t="shared" si="7"/>
        <v>0.48539074537072052</v>
      </c>
      <c r="D166">
        <f t="shared" si="8"/>
        <v>-0.87429733175187974</v>
      </c>
    </row>
    <row r="167" spans="1:4" x14ac:dyDescent="0.3">
      <c r="A167">
        <v>167</v>
      </c>
      <c r="B167">
        <f t="shared" si="6"/>
        <v>-1.0513947357705251</v>
      </c>
      <c r="C167">
        <f t="shared" si="7"/>
        <v>0.49636073812366666</v>
      </c>
      <c r="D167">
        <f t="shared" si="8"/>
        <v>-0.86811636181408813</v>
      </c>
    </row>
    <row r="168" spans="1:4" x14ac:dyDescent="0.3">
      <c r="A168">
        <v>168</v>
      </c>
      <c r="B168">
        <f t="shared" si="6"/>
        <v>-1.0388031820487225</v>
      </c>
      <c r="C168">
        <f t="shared" si="7"/>
        <v>0.50725203529867535</v>
      </c>
      <c r="D168">
        <f t="shared" si="8"/>
        <v>-0.86179775625453536</v>
      </c>
    </row>
    <row r="169" spans="1:4" x14ac:dyDescent="0.3">
      <c r="A169">
        <v>169</v>
      </c>
      <c r="B169">
        <f t="shared" si="6"/>
        <v>-1.0262116283269198</v>
      </c>
      <c r="C169">
        <f t="shared" si="7"/>
        <v>0.51806291013361627</v>
      </c>
      <c r="D169">
        <f t="shared" si="8"/>
        <v>-0.85534251685736318</v>
      </c>
    </row>
    <row r="170" spans="1:4" x14ac:dyDescent="0.3">
      <c r="A170">
        <v>170</v>
      </c>
      <c r="B170">
        <f t="shared" si="6"/>
        <v>-1.0136200746051167</v>
      </c>
      <c r="C170">
        <f t="shared" si="7"/>
        <v>0.52879164861692984</v>
      </c>
      <c r="D170">
        <f t="shared" si="8"/>
        <v>-0.84875166706934335</v>
      </c>
    </row>
    <row r="171" spans="1:4" x14ac:dyDescent="0.3">
      <c r="A171">
        <v>171</v>
      </c>
      <c r="B171">
        <f t="shared" si="6"/>
        <v>-1.0010285208833141</v>
      </c>
      <c r="C171">
        <f t="shared" si="7"/>
        <v>0.53943654975937361</v>
      </c>
      <c r="D171">
        <f t="shared" si="8"/>
        <v>-0.84202625183761515</v>
      </c>
    </row>
    <row r="172" spans="1:4" x14ac:dyDescent="0.3">
      <c r="A172">
        <v>172</v>
      </c>
      <c r="B172">
        <f t="shared" si="6"/>
        <v>-0.98843696716151142</v>
      </c>
      <c r="C172">
        <f t="shared" si="7"/>
        <v>0.5499959258637086</v>
      </c>
      <c r="D172">
        <f t="shared" si="8"/>
        <v>-0.83516733744401306</v>
      </c>
    </row>
    <row r="173" spans="1:4" x14ac:dyDescent="0.3">
      <c r="A173">
        <v>173</v>
      </c>
      <c r="B173">
        <f t="shared" si="6"/>
        <v>-0.97584541343970832</v>
      </c>
      <c r="C173">
        <f t="shared" si="7"/>
        <v>0.5604681027922741</v>
      </c>
      <c r="D173">
        <f t="shared" si="8"/>
        <v>-0.8281760113360136</v>
      </c>
    </row>
    <row r="174" spans="1:4" x14ac:dyDescent="0.3">
      <c r="A174">
        <v>174</v>
      </c>
      <c r="B174">
        <f t="shared" si="6"/>
        <v>-0.96325385971790567</v>
      </c>
      <c r="C174">
        <f t="shared" si="7"/>
        <v>0.57085142023241298</v>
      </c>
      <c r="D174">
        <f t="shared" si="8"/>
        <v>-0.82105338195432642</v>
      </c>
    </row>
    <row r="175" spans="1:4" x14ac:dyDescent="0.3">
      <c r="A175">
        <v>175</v>
      </c>
      <c r="B175">
        <f t="shared" si="6"/>
        <v>-0.95066230599610302</v>
      </c>
      <c r="C175">
        <f t="shared" si="7"/>
        <v>0.58114423195970821</v>
      </c>
      <c r="D175">
        <f t="shared" si="8"/>
        <v>-0.81380057855715537</v>
      </c>
    </row>
    <row r="176" spans="1:4" x14ac:dyDescent="0.3">
      <c r="A176">
        <v>176</v>
      </c>
      <c r="B176">
        <f t="shared" si="6"/>
        <v>-0.93807075227429992</v>
      </c>
      <c r="C176">
        <f t="shared" si="7"/>
        <v>0.59134490609898305</v>
      </c>
      <c r="D176">
        <f t="shared" si="8"/>
        <v>-0.80641875104116034</v>
      </c>
    </row>
    <row r="177" spans="1:4" x14ac:dyDescent="0.3">
      <c r="A177">
        <v>177</v>
      </c>
      <c r="B177">
        <f t="shared" si="6"/>
        <v>-0.92547919855249727</v>
      </c>
      <c r="C177">
        <f t="shared" si="7"/>
        <v>0.60145182538302566</v>
      </c>
      <c r="D177">
        <f t="shared" si="8"/>
        <v>-0.79890906975914755</v>
      </c>
    </row>
    <row r="178" spans="1:4" x14ac:dyDescent="0.3">
      <c r="A178">
        <v>178</v>
      </c>
      <c r="B178">
        <f t="shared" si="6"/>
        <v>-0.91288764483069462</v>
      </c>
      <c r="C178">
        <f t="shared" si="7"/>
        <v>0.61146338740900052</v>
      </c>
      <c r="D178">
        <f t="shared" si="8"/>
        <v>-0.79127272533451476</v>
      </c>
    </row>
    <row r="179" spans="1:4" x14ac:dyDescent="0.3">
      <c r="A179">
        <v>179</v>
      </c>
      <c r="B179">
        <f t="shared" si="6"/>
        <v>-0.90029609110889153</v>
      </c>
      <c r="C179">
        <f t="shared" si="7"/>
        <v>0.62137800489250161</v>
      </c>
      <c r="D179">
        <f t="shared" si="8"/>
        <v>-0.78351092847248416</v>
      </c>
    </row>
    <row r="180" spans="1:4" x14ac:dyDescent="0.3">
      <c r="A180">
        <v>180</v>
      </c>
      <c r="B180">
        <f t="shared" si="6"/>
        <v>-0.88770453738708888</v>
      </c>
      <c r="C180">
        <f t="shared" si="7"/>
        <v>0.63119410591920666</v>
      </c>
      <c r="D180">
        <f t="shared" si="8"/>
        <v>-0.77562490976815157</v>
      </c>
    </row>
    <row r="181" spans="1:4" x14ac:dyDescent="0.3">
      <c r="A181">
        <v>181</v>
      </c>
      <c r="B181">
        <f t="shared" si="6"/>
        <v>-0.87511298366528623</v>
      </c>
      <c r="C181">
        <f t="shared" si="7"/>
        <v>0.64091013419409903</v>
      </c>
      <c r="D181">
        <f t="shared" si="8"/>
        <v>-0.76761591951138042</v>
      </c>
    </row>
    <row r="182" spans="1:4" x14ac:dyDescent="0.3">
      <c r="A182">
        <v>182</v>
      </c>
      <c r="B182">
        <f t="shared" si="6"/>
        <v>-0.86252142994348313</v>
      </c>
      <c r="C182">
        <f t="shared" si="7"/>
        <v>0.65052454928820946</v>
      </c>
      <c r="D182">
        <f t="shared" si="8"/>
        <v>-0.75948522748857461</v>
      </c>
    </row>
    <row r="183" spans="1:4" x14ac:dyDescent="0.3">
      <c r="A183">
        <v>183</v>
      </c>
      <c r="B183">
        <f t="shared" si="6"/>
        <v>-0.84992987622168048</v>
      </c>
      <c r="C183">
        <f t="shared" si="7"/>
        <v>0.66003582688284268</v>
      </c>
      <c r="D183">
        <f t="shared" si="8"/>
        <v>-0.75123412278136181</v>
      </c>
    </row>
    <row r="184" spans="1:4" x14ac:dyDescent="0.3">
      <c r="A184">
        <v>184</v>
      </c>
      <c r="B184">
        <f t="shared" si="6"/>
        <v>-0.83733832249987783</v>
      </c>
      <c r="C184">
        <f t="shared" si="7"/>
        <v>0.66944245901125288</v>
      </c>
      <c r="D184">
        <f t="shared" si="8"/>
        <v>-0.74286391356221293</v>
      </c>
    </row>
    <row r="185" spans="1:4" x14ac:dyDescent="0.3">
      <c r="A185">
        <v>185</v>
      </c>
      <c r="B185">
        <f t="shared" si="6"/>
        <v>-0.82474676877807473</v>
      </c>
      <c r="C185">
        <f t="shared" si="7"/>
        <v>0.67874295429772324</v>
      </c>
      <c r="D185">
        <f t="shared" si="8"/>
        <v>-0.73437592688703979</v>
      </c>
    </row>
    <row r="186" spans="1:4" x14ac:dyDescent="0.3">
      <c r="A186">
        <v>186</v>
      </c>
      <c r="B186">
        <f t="shared" si="6"/>
        <v>-0.81215521505627208</v>
      </c>
      <c r="C186">
        <f t="shared" si="7"/>
        <v>0.68793583819401527</v>
      </c>
      <c r="D186">
        <f t="shared" si="8"/>
        <v>-0.72577150848479688</v>
      </c>
    </row>
    <row r="187" spans="1:4" x14ac:dyDescent="0.3">
      <c r="A187">
        <v>187</v>
      </c>
      <c r="B187">
        <f t="shared" si="6"/>
        <v>-0.79956366133446943</v>
      </c>
      <c r="C187">
        <f t="shared" si="7"/>
        <v>0.69701965321315373</v>
      </c>
      <c r="D187">
        <f t="shared" si="8"/>
        <v>-0.71705202254412126</v>
      </c>
    </row>
    <row r="188" spans="1:4" x14ac:dyDescent="0.3">
      <c r="A188">
        <v>188</v>
      </c>
      <c r="B188">
        <f t="shared" si="6"/>
        <v>-0.78697210761266634</v>
      </c>
      <c r="C188">
        <f t="shared" si="7"/>
        <v>0.70599295916050209</v>
      </c>
      <c r="D188">
        <f t="shared" si="8"/>
        <v>-0.70821885149704789</v>
      </c>
    </row>
    <row r="189" spans="1:4" x14ac:dyDescent="0.3">
      <c r="A189">
        <v>189</v>
      </c>
      <c r="B189">
        <f t="shared" si="6"/>
        <v>-0.77438055389086369</v>
      </c>
      <c r="C189">
        <f t="shared" si="7"/>
        <v>0.7148543333620988</v>
      </c>
      <c r="D189">
        <f t="shared" si="8"/>
        <v>-0.69927339579983261</v>
      </c>
    </row>
    <row r="190" spans="1:4" x14ac:dyDescent="0.3">
      <c r="A190">
        <v>190</v>
      </c>
      <c r="B190">
        <f t="shared" si="6"/>
        <v>-0.76178900016906104</v>
      </c>
      <c r="C190">
        <f t="shared" si="7"/>
        <v>0.72360237089021584</v>
      </c>
      <c r="D190">
        <f t="shared" si="8"/>
        <v>-0.6902170737109149</v>
      </c>
    </row>
    <row r="191" spans="1:4" x14ac:dyDescent="0.3">
      <c r="A191">
        <v>191</v>
      </c>
      <c r="B191">
        <f t="shared" si="6"/>
        <v>-0.74919744644725794</v>
      </c>
      <c r="C191">
        <f t="shared" si="7"/>
        <v>0.73223568478610324</v>
      </c>
      <c r="D191">
        <f t="shared" si="8"/>
        <v>-0.6810513210660607</v>
      </c>
    </row>
    <row r="192" spans="1:4" x14ac:dyDescent="0.3">
      <c r="A192">
        <v>192</v>
      </c>
      <c r="B192">
        <f t="shared" si="6"/>
        <v>-0.73660589272545529</v>
      </c>
      <c r="C192">
        <f t="shared" si="7"/>
        <v>0.74075290627988322</v>
      </c>
      <c r="D192">
        <f t="shared" si="8"/>
        <v>-0.67177759105071866</v>
      </c>
    </row>
    <row r="193" spans="1:4" x14ac:dyDescent="0.3">
      <c r="A193">
        <v>193</v>
      </c>
      <c r="B193">
        <f t="shared" ref="B193:B256" si="9">-3.14159265358979+(A193-1)*0.0125915537218028</f>
        <v>-0.72401433900365264</v>
      </c>
      <c r="C193">
        <f t="shared" ref="C193:C256" si="10">1*COS(B193)+0</f>
        <v>0.74915268500756382</v>
      </c>
      <c r="D193">
        <f t="shared" ref="D193:D256" si="11">1*SIN(B193)+0+0*COS(B193)</f>
        <v>-0.66239735396962285</v>
      </c>
    </row>
    <row r="194" spans="1:4" x14ac:dyDescent="0.3">
      <c r="A194">
        <v>194</v>
      </c>
      <c r="B194">
        <f t="shared" si="9"/>
        <v>-0.71142278528184955</v>
      </c>
      <c r="C194">
        <f t="shared" si="10"/>
        <v>0.7574336892251321</v>
      </c>
      <c r="D194">
        <f t="shared" si="11"/>
        <v>-0.65291209701368369</v>
      </c>
    </row>
    <row r="195" spans="1:4" x14ac:dyDescent="0.3">
      <c r="A195">
        <v>195</v>
      </c>
      <c r="B195">
        <f t="shared" si="9"/>
        <v>-0.69883123156004689</v>
      </c>
      <c r="C195">
        <f t="shared" si="10"/>
        <v>0.76559460601969409</v>
      </c>
      <c r="D195">
        <f t="shared" si="11"/>
        <v>-0.64332332402420278</v>
      </c>
    </row>
    <row r="196" spans="1:4" x14ac:dyDescent="0.3">
      <c r="A196">
        <v>196</v>
      </c>
      <c r="B196">
        <f t="shared" si="9"/>
        <v>-0.6862396778382438</v>
      </c>
      <c r="C196">
        <f t="shared" si="10"/>
        <v>0.77363414151763321</v>
      </c>
      <c r="D196">
        <f t="shared" si="11"/>
        <v>-0.63363255525444295</v>
      </c>
    </row>
    <row r="197" spans="1:4" x14ac:dyDescent="0.3">
      <c r="A197">
        <v>197</v>
      </c>
      <c r="B197">
        <f t="shared" si="9"/>
        <v>-0.67364812411644115</v>
      </c>
      <c r="C197">
        <f t="shared" si="10"/>
        <v>0.78155102108974517</v>
      </c>
      <c r="D197">
        <f t="shared" si="11"/>
        <v>-0.62384132712860307</v>
      </c>
    </row>
    <row r="198" spans="1:4" x14ac:dyDescent="0.3">
      <c r="A198">
        <v>198</v>
      </c>
      <c r="B198">
        <f t="shared" si="9"/>
        <v>-0.6610565703946385</v>
      </c>
      <c r="C198">
        <f t="shared" si="10"/>
        <v>0.78934398955332641</v>
      </c>
      <c r="D198">
        <f t="shared" si="11"/>
        <v>-0.61395119199822235</v>
      </c>
    </row>
    <row r="199" spans="1:4" x14ac:dyDescent="0.3">
      <c r="A199">
        <v>199</v>
      </c>
      <c r="B199">
        <f t="shared" si="9"/>
        <v>-0.6484650166728354</v>
      </c>
      <c r="C199">
        <f t="shared" si="10"/>
        <v>0.79701181137117627</v>
      </c>
      <c r="D199">
        <f t="shared" si="11"/>
        <v>-0.60396371789606418</v>
      </c>
    </row>
    <row r="200" spans="1:4" x14ac:dyDescent="0.3">
      <c r="A200">
        <v>200</v>
      </c>
      <c r="B200">
        <f t="shared" si="9"/>
        <v>-0.63587346295103275</v>
      </c>
      <c r="C200">
        <f t="shared" si="10"/>
        <v>0.80455327084748429</v>
      </c>
      <c r="D200">
        <f t="shared" si="11"/>
        <v>-0.59388048828751272</v>
      </c>
    </row>
    <row r="201" spans="1:4" x14ac:dyDescent="0.3">
      <c r="A201">
        <v>201</v>
      </c>
      <c r="B201">
        <f t="shared" si="9"/>
        <v>-0.6232819092292301</v>
      </c>
      <c r="C201">
        <f t="shared" si="10"/>
        <v>0.81196717232057491</v>
      </c>
      <c r="D201">
        <f t="shared" si="11"/>
        <v>-0.58370310181952068</v>
      </c>
    </row>
    <row r="202" spans="1:4" x14ac:dyDescent="0.3">
      <c r="A202">
        <v>202</v>
      </c>
      <c r="B202">
        <f t="shared" si="9"/>
        <v>-0.61069035550742701</v>
      </c>
      <c r="C202">
        <f t="shared" si="10"/>
        <v>0.81925234035247285</v>
      </c>
      <c r="D202">
        <f t="shared" si="11"/>
        <v>-0.57343317206715205</v>
      </c>
    </row>
    <row r="203" spans="1:4" x14ac:dyDescent="0.3">
      <c r="A203">
        <v>203</v>
      </c>
      <c r="B203">
        <f t="shared" si="9"/>
        <v>-0.59809880178562436</v>
      </c>
      <c r="C203">
        <f t="shared" si="10"/>
        <v>0.82640761991526213</v>
      </c>
      <c r="D203">
        <f t="shared" si="11"/>
        <v>-0.56307232727775902</v>
      </c>
    </row>
    <row r="204" spans="1:4" x14ac:dyDescent="0.3">
      <c r="A204">
        <v>204</v>
      </c>
      <c r="B204">
        <f t="shared" si="9"/>
        <v>-0.58550724806382171</v>
      </c>
      <c r="C204">
        <f t="shared" si="10"/>
        <v>0.83343187657421181</v>
      </c>
      <c r="D204">
        <f t="shared" si="11"/>
        <v>-0.55262221011282897</v>
      </c>
    </row>
    <row r="205" spans="1:4" x14ac:dyDescent="0.3">
      <c r="A205">
        <v>205</v>
      </c>
      <c r="B205">
        <f t="shared" si="9"/>
        <v>-0.57291569434201861</v>
      </c>
      <c r="C205">
        <f t="shared" si="10"/>
        <v>0.84032399666763458</v>
      </c>
      <c r="D205">
        <f t="shared" si="11"/>
        <v>-0.54208447738755017</v>
      </c>
    </row>
    <row r="206" spans="1:4" x14ac:dyDescent="0.3">
      <c r="A206">
        <v>206</v>
      </c>
      <c r="B206">
        <f t="shared" si="9"/>
        <v>-0.56032414062021596</v>
      </c>
      <c r="C206">
        <f t="shared" si="10"/>
        <v>0.84708288748345095</v>
      </c>
      <c r="D206">
        <f t="shared" si="11"/>
        <v>-0.53146079980813188</v>
      </c>
    </row>
    <row r="207" spans="1:4" x14ac:dyDescent="0.3">
      <c r="A207">
        <v>207</v>
      </c>
      <c r="B207">
        <f t="shared" si="9"/>
        <v>-0.54773258689841331</v>
      </c>
      <c r="C207">
        <f t="shared" si="10"/>
        <v>0.8537074774324358</v>
      </c>
      <c r="D207">
        <f t="shared" si="11"/>
        <v>-0.52075286170692059</v>
      </c>
    </row>
    <row r="208" spans="1:4" x14ac:dyDescent="0.3">
      <c r="A208">
        <v>208</v>
      </c>
      <c r="B208">
        <f t="shared" si="9"/>
        <v>-0.53514103317661021</v>
      </c>
      <c r="C208">
        <f t="shared" si="10"/>
        <v>0.86019671621811211</v>
      </c>
      <c r="D208">
        <f t="shared" si="11"/>
        <v>-0.50996236077535817</v>
      </c>
    </row>
    <row r="209" spans="1:4" x14ac:dyDescent="0.3">
      <c r="A209">
        <v>209</v>
      </c>
      <c r="B209">
        <f t="shared" si="9"/>
        <v>-0.52254947945480756</v>
      </c>
      <c r="C209">
        <f t="shared" si="10"/>
        <v>0.86654957500327034</v>
      </c>
      <c r="D209">
        <f t="shared" si="11"/>
        <v>-0.49909100779482252</v>
      </c>
    </row>
    <row r="210" spans="1:4" x14ac:dyDescent="0.3">
      <c r="A210">
        <v>210</v>
      </c>
      <c r="B210">
        <f t="shared" si="9"/>
        <v>-0.50995792573300491</v>
      </c>
      <c r="C210">
        <f t="shared" si="10"/>
        <v>0.87276504657308618</v>
      </c>
      <c r="D210">
        <f t="shared" si="11"/>
        <v>-0.48814052636538874</v>
      </c>
    </row>
    <row r="211" spans="1:4" x14ac:dyDescent="0.3">
      <c r="A211">
        <v>211</v>
      </c>
      <c r="B211">
        <f t="shared" si="9"/>
        <v>-0.49736637201120182</v>
      </c>
      <c r="C211">
        <f t="shared" si="10"/>
        <v>0.87884214549480955</v>
      </c>
      <c r="D211">
        <f t="shared" si="11"/>
        <v>-0.47711265263256231</v>
      </c>
    </row>
    <row r="212" spans="1:4" x14ac:dyDescent="0.3">
      <c r="A212">
        <v>212</v>
      </c>
      <c r="B212">
        <f t="shared" si="9"/>
        <v>-0.48477481828939917</v>
      </c>
      <c r="C212">
        <f t="shared" si="10"/>
        <v>0.88477990827399922</v>
      </c>
      <c r="D212">
        <f t="shared" si="11"/>
        <v>-0.46600913501202273</v>
      </c>
    </row>
    <row r="213" spans="1:4" x14ac:dyDescent="0.3">
      <c r="A213">
        <v>213</v>
      </c>
      <c r="B213">
        <f t="shared" si="9"/>
        <v>-0.47218326456759652</v>
      </c>
      <c r="C213">
        <f t="shared" si="10"/>
        <v>0.89057739350728138</v>
      </c>
      <c r="D213">
        <f t="shared" si="11"/>
        <v>-0.45483173391241832</v>
      </c>
    </row>
    <row r="214" spans="1:4" x14ac:dyDescent="0.3">
      <c r="A214">
        <v>214</v>
      </c>
      <c r="B214">
        <f t="shared" si="9"/>
        <v>-0.45959171084579342</v>
      </c>
      <c r="C214">
        <f t="shared" si="10"/>
        <v>0.89623368203160425</v>
      </c>
      <c r="D214">
        <f t="shared" si="11"/>
        <v>-0.44358222145626325</v>
      </c>
    </row>
    <row r="215" spans="1:4" x14ac:dyDescent="0.3">
      <c r="A215">
        <v>215</v>
      </c>
      <c r="B215">
        <f t="shared" si="9"/>
        <v>-0.44700015712399077</v>
      </c>
      <c r="C215">
        <f t="shared" si="10"/>
        <v>0.90174787706996573</v>
      </c>
      <c r="D215">
        <f t="shared" si="11"/>
        <v>-0.43226238119897725</v>
      </c>
    </row>
    <row r="216" spans="1:4" x14ac:dyDescent="0.3">
      <c r="A216">
        <v>216</v>
      </c>
      <c r="B216">
        <f t="shared" si="9"/>
        <v>-0.43440860340218812</v>
      </c>
      <c r="C216">
        <f t="shared" si="10"/>
        <v>0.907119104373595</v>
      </c>
      <c r="D216">
        <f t="shared" si="11"/>
        <v>-0.4208740078461094</v>
      </c>
    </row>
    <row r="217" spans="1:4" x14ac:dyDescent="0.3">
      <c r="A217">
        <v>217</v>
      </c>
      <c r="B217">
        <f t="shared" si="9"/>
        <v>-0.42181704968038503</v>
      </c>
      <c r="C217">
        <f t="shared" si="10"/>
        <v>0.91234651236055886</v>
      </c>
      <c r="D217">
        <f t="shared" si="11"/>
        <v>-0.40941890696879712</v>
      </c>
    </row>
    <row r="218" spans="1:4" x14ac:dyDescent="0.3">
      <c r="A218">
        <v>218</v>
      </c>
      <c r="B218">
        <f t="shared" si="9"/>
        <v>-0.40922549595858237</v>
      </c>
      <c r="C218">
        <f t="shared" si="10"/>
        <v>0.91742927225077642</v>
      </c>
      <c r="D218">
        <f t="shared" si="11"/>
        <v>-0.39789889471750334</v>
      </c>
    </row>
    <row r="219" spans="1:4" x14ac:dyDescent="0.3">
      <c r="A219">
        <v>219</v>
      </c>
      <c r="B219">
        <f t="shared" si="9"/>
        <v>-0.39663394223677972</v>
      </c>
      <c r="C219">
        <f t="shared" si="10"/>
        <v>0.92236657819741819</v>
      </c>
      <c r="D219">
        <f t="shared" si="11"/>
        <v>-0.38631579753407186</v>
      </c>
    </row>
    <row r="220" spans="1:4" x14ac:dyDescent="0.3">
      <c r="A220">
        <v>220</v>
      </c>
      <c r="B220">
        <f t="shared" si="9"/>
        <v>-0.38404238851497663</v>
      </c>
      <c r="C220">
        <f t="shared" si="10"/>
        <v>0.92715764741466955</v>
      </c>
      <c r="D220">
        <f t="shared" si="11"/>
        <v>-0.37467145186215534</v>
      </c>
    </row>
    <row r="221" spans="1:4" x14ac:dyDescent="0.3">
      <c r="A221">
        <v>221</v>
      </c>
      <c r="B221">
        <f t="shared" si="9"/>
        <v>-0.37145083479317398</v>
      </c>
      <c r="C221">
        <f t="shared" si="10"/>
        <v>0.93180172030183628</v>
      </c>
      <c r="D221">
        <f t="shared" si="11"/>
        <v>-0.3629677038560572</v>
      </c>
    </row>
    <row r="222" spans="1:4" x14ac:dyDescent="0.3">
      <c r="A222">
        <v>222</v>
      </c>
      <c r="B222">
        <f t="shared" si="9"/>
        <v>-0.35885928107137133</v>
      </c>
      <c r="C222">
        <f t="shared" si="10"/>
        <v>0.9362980605637774</v>
      </c>
      <c r="D222">
        <f t="shared" si="11"/>
        <v>-0.35120640908803058</v>
      </c>
    </row>
    <row r="223" spans="1:4" x14ac:dyDescent="0.3">
      <c r="A223">
        <v>223</v>
      </c>
      <c r="B223">
        <f t="shared" si="9"/>
        <v>-0.34626772734956823</v>
      </c>
      <c r="C223">
        <f t="shared" si="10"/>
        <v>0.94064595532763984</v>
      </c>
      <c r="D223">
        <f t="shared" si="11"/>
        <v>-0.3393894322540873</v>
      </c>
    </row>
    <row r="224" spans="1:4" x14ac:dyDescent="0.3">
      <c r="A224">
        <v>224</v>
      </c>
      <c r="B224">
        <f t="shared" si="9"/>
        <v>-0.33367617362776558</v>
      </c>
      <c r="C224">
        <f t="shared" si="10"/>
        <v>0.94484471525588132</v>
      </c>
      <c r="D224">
        <f t="shared" si="11"/>
        <v>-0.32751864687836102</v>
      </c>
    </row>
    <row r="225" spans="1:4" x14ac:dyDescent="0.3">
      <c r="A225">
        <v>225</v>
      </c>
      <c r="B225">
        <f t="shared" si="9"/>
        <v>-0.32108461990596293</v>
      </c>
      <c r="C225">
        <f t="shared" si="10"/>
        <v>0.94889367465556163</v>
      </c>
      <c r="D225">
        <f t="shared" si="11"/>
        <v>-0.31559593501606631</v>
      </c>
    </row>
    <row r="226" spans="1:4" x14ac:dyDescent="0.3">
      <c r="A226">
        <v>226</v>
      </c>
      <c r="B226">
        <f t="shared" si="9"/>
        <v>-0.30849306618415984</v>
      </c>
      <c r="C226">
        <f t="shared" si="10"/>
        <v>0.95279219158388506</v>
      </c>
      <c r="D226">
        <f t="shared" si="11"/>
        <v>-0.30362318695510926</v>
      </c>
    </row>
    <row r="227" spans="1:4" x14ac:dyDescent="0.3">
      <c r="A227">
        <v>227</v>
      </c>
      <c r="B227">
        <f t="shared" si="9"/>
        <v>-0.29590151246235719</v>
      </c>
      <c r="C227">
        <f t="shared" si="10"/>
        <v>0.9565396479499767</v>
      </c>
      <c r="D227">
        <f t="shared" si="11"/>
        <v>-0.29160230091639305</v>
      </c>
    </row>
    <row r="228" spans="1:4" x14ac:dyDescent="0.3">
      <c r="A228">
        <v>228</v>
      </c>
      <c r="B228">
        <f t="shared" si="9"/>
        <v>-0.28330995874055453</v>
      </c>
      <c r="C228">
        <f t="shared" si="10"/>
        <v>0.96013544961287856</v>
      </c>
      <c r="D228">
        <f t="shared" si="11"/>
        <v>-0.27953518275286143</v>
      </c>
    </row>
    <row r="229" spans="1:4" x14ac:dyDescent="0.3">
      <c r="A229">
        <v>229</v>
      </c>
      <c r="B229">
        <f t="shared" si="9"/>
        <v>-0.27071840501875144</v>
      </c>
      <c r="C229">
        <f t="shared" si="10"/>
        <v>0.96357902647574722</v>
      </c>
      <c r="D229">
        <f t="shared" si="11"/>
        <v>-0.26742374564733634</v>
      </c>
    </row>
    <row r="230" spans="1:4" x14ac:dyDescent="0.3">
      <c r="A230">
        <v>230</v>
      </c>
      <c r="B230">
        <f t="shared" si="9"/>
        <v>-0.25812685129694879</v>
      </c>
      <c r="C230">
        <f t="shared" si="10"/>
        <v>0.96686983257623993</v>
      </c>
      <c r="D230">
        <f t="shared" si="11"/>
        <v>-0.25526990980919356</v>
      </c>
    </row>
    <row r="231" spans="1:4" x14ac:dyDescent="0.3">
      <c r="A231">
        <v>231</v>
      </c>
      <c r="B231">
        <f t="shared" si="9"/>
        <v>-0.24553529757514614</v>
      </c>
      <c r="C231">
        <f t="shared" si="10"/>
        <v>0.97000734617307449</v>
      </c>
      <c r="D231">
        <f t="shared" si="11"/>
        <v>-0.24307560216992019</v>
      </c>
    </row>
    <row r="232" spans="1:4" x14ac:dyDescent="0.3">
      <c r="A232">
        <v>232</v>
      </c>
      <c r="B232">
        <f t="shared" si="9"/>
        <v>-0.23294374385334304</v>
      </c>
      <c r="C232">
        <f t="shared" si="10"/>
        <v>0.97299106982874872</v>
      </c>
      <c r="D232">
        <f t="shared" si="11"/>
        <v>-0.23084275607761018</v>
      </c>
    </row>
    <row r="233" spans="1:4" x14ac:dyDescent="0.3">
      <c r="A233">
        <v>233</v>
      </c>
      <c r="B233">
        <f t="shared" si="9"/>
        <v>-0.22035219013154039</v>
      </c>
      <c r="C233">
        <f t="shared" si="10"/>
        <v>0.97582053048840656</v>
      </c>
      <c r="D233">
        <f t="shared" si="11"/>
        <v>-0.21857331099044294</v>
      </c>
    </row>
    <row r="234" spans="1:4" x14ac:dyDescent="0.3">
      <c r="A234">
        <v>234</v>
      </c>
      <c r="B234">
        <f t="shared" si="9"/>
        <v>-0.20776063640973774</v>
      </c>
      <c r="C234">
        <f t="shared" si="10"/>
        <v>0.97849527955483873</v>
      </c>
      <c r="D234">
        <f t="shared" si="11"/>
        <v>-0.206269212169189</v>
      </c>
    </row>
    <row r="235" spans="1:4" x14ac:dyDescent="0.3">
      <c r="A235">
        <v>235</v>
      </c>
      <c r="B235">
        <f t="shared" si="9"/>
        <v>-0.19516908268793465</v>
      </c>
      <c r="C235">
        <f t="shared" si="10"/>
        <v>0.9810148929596062</v>
      </c>
      <c r="D235">
        <f t="shared" si="11"/>
        <v>-0.1939324103687996</v>
      </c>
    </row>
    <row r="236" spans="1:4" x14ac:dyDescent="0.3">
      <c r="A236">
        <v>236</v>
      </c>
      <c r="B236">
        <f t="shared" si="9"/>
        <v>-0.182577528966132</v>
      </c>
      <c r="C236">
        <f t="shared" si="10"/>
        <v>0.98337897123027274</v>
      </c>
      <c r="D236">
        <f t="shared" si="11"/>
        <v>-0.18156486152912546</v>
      </c>
    </row>
    <row r="237" spans="1:4" x14ac:dyDescent="0.3">
      <c r="A237">
        <v>237</v>
      </c>
      <c r="B237">
        <f t="shared" si="9"/>
        <v>-0.16998597524432935</v>
      </c>
      <c r="C237">
        <f t="shared" si="10"/>
        <v>0.98558713955374089</v>
      </c>
      <c r="D237">
        <f t="shared" si="11"/>
        <v>-0.16916852646480929</v>
      </c>
    </row>
    <row r="238" spans="1:4" x14ac:dyDescent="0.3">
      <c r="A238">
        <v>238</v>
      </c>
      <c r="B238">
        <f t="shared" si="9"/>
        <v>-0.15739442152252625</v>
      </c>
      <c r="C238">
        <f t="shared" si="10"/>
        <v>0.98763904783567602</v>
      </c>
      <c r="D238">
        <f t="shared" si="11"/>
        <v>-0.15674537055440954</v>
      </c>
    </row>
    <row r="239" spans="1:4" x14ac:dyDescent="0.3">
      <c r="A239">
        <v>239</v>
      </c>
      <c r="B239">
        <f t="shared" si="9"/>
        <v>-0.1448028678007236</v>
      </c>
      <c r="C239">
        <f t="shared" si="10"/>
        <v>0.98953437075601203</v>
      </c>
      <c r="D239">
        <f t="shared" si="11"/>
        <v>-0.14429736342880053</v>
      </c>
    </row>
    <row r="240" spans="1:4" x14ac:dyDescent="0.3">
      <c r="A240">
        <v>240</v>
      </c>
      <c r="B240">
        <f t="shared" si="9"/>
        <v>-0.13221131407892095</v>
      </c>
      <c r="C240">
        <f t="shared" si="10"/>
        <v>0.99127280782052929</v>
      </c>
      <c r="D240">
        <f t="shared" si="11"/>
        <v>-0.13182647865889446</v>
      </c>
    </row>
    <row r="241" spans="1:4" x14ac:dyDescent="0.3">
      <c r="A241">
        <v>241</v>
      </c>
      <c r="B241">
        <f t="shared" si="9"/>
        <v>-0.11961976035711785</v>
      </c>
      <c r="C241">
        <f t="shared" si="10"/>
        <v>0.99285408340849701</v>
      </c>
      <c r="D241">
        <f t="shared" si="11"/>
        <v>-0.11933469344274253</v>
      </c>
    </row>
    <row r="242" spans="1:4" x14ac:dyDescent="0.3">
      <c r="A242">
        <v>242</v>
      </c>
      <c r="B242">
        <f t="shared" si="9"/>
        <v>-0.1070282066353152</v>
      </c>
      <c r="C242">
        <f t="shared" si="10"/>
        <v>0.99427794681637061</v>
      </c>
      <c r="D242">
        <f t="shared" si="11"/>
        <v>-0.1068239882920613</v>
      </c>
    </row>
    <row r="243" spans="1:4" x14ac:dyDescent="0.3">
      <c r="A243">
        <v>243</v>
      </c>
      <c r="B243">
        <f t="shared" si="9"/>
        <v>-9.4436652913512553E-2</v>
      </c>
      <c r="C243">
        <f t="shared" si="10"/>
        <v>0.99554417229754077</v>
      </c>
      <c r="D243">
        <f t="shared" si="11"/>
        <v>-9.4296346718229507E-2</v>
      </c>
    </row>
    <row r="244" spans="1:4" x14ac:dyDescent="0.3">
      <c r="A244">
        <v>244</v>
      </c>
      <c r="B244">
        <f t="shared" si="9"/>
        <v>-8.1845099191709458E-2</v>
      </c>
      <c r="C244">
        <f t="shared" si="10"/>
        <v>0.99665255909812334</v>
      </c>
      <c r="D244">
        <f t="shared" si="11"/>
        <v>-8.1753754917813268E-2</v>
      </c>
    </row>
    <row r="245" spans="1:4" x14ac:dyDescent="0.3">
      <c r="A245">
        <v>245</v>
      </c>
      <c r="B245">
        <f t="shared" si="9"/>
        <v>-6.9253545469906808E-2</v>
      </c>
      <c r="C245">
        <f t="shared" si="10"/>
        <v>0.99760293148878842</v>
      </c>
      <c r="D245">
        <f t="shared" si="11"/>
        <v>-6.919820145766567E-2</v>
      </c>
    </row>
    <row r="246" spans="1:4" x14ac:dyDescent="0.3">
      <c r="A246">
        <v>246</v>
      </c>
      <c r="B246">
        <f t="shared" si="9"/>
        <v>-5.6661991748104157E-2</v>
      </c>
      <c r="C246">
        <f t="shared" si="10"/>
        <v>0.99839513879262165</v>
      </c>
      <c r="D246">
        <f t="shared" si="11"/>
        <v>-5.6631676959646479E-2</v>
      </c>
    </row>
    <row r="247" spans="1:4" x14ac:dyDescent="0.3">
      <c r="A247">
        <v>247</v>
      </c>
      <c r="B247">
        <f t="shared" si="9"/>
        <v>-4.4070438026301062E-2</v>
      </c>
      <c r="C247">
        <f t="shared" si="10"/>
        <v>0.99902905540901266</v>
      </c>
      <c r="D247">
        <f t="shared" si="11"/>
        <v>-4.4056173785020115E-2</v>
      </c>
    </row>
    <row r="248" spans="1:4" x14ac:dyDescent="0.3">
      <c r="A248">
        <v>248</v>
      </c>
      <c r="B248">
        <f t="shared" si="9"/>
        <v>-3.1478884304498411E-2</v>
      </c>
      <c r="C248">
        <f t="shared" si="10"/>
        <v>0.99950458083356886</v>
      </c>
      <c r="D248">
        <f t="shared" si="11"/>
        <v>-3.1473685718577782E-2</v>
      </c>
    </row>
    <row r="249" spans="1:4" x14ac:dyDescent="0.3">
      <c r="A249">
        <v>249</v>
      </c>
      <c r="B249">
        <f t="shared" si="9"/>
        <v>-1.888733058269576E-2</v>
      </c>
      <c r="C249">
        <f t="shared" si="10"/>
        <v>0.9998216396740498</v>
      </c>
      <c r="D249">
        <f t="shared" si="11"/>
        <v>-1.8886207652529921E-2</v>
      </c>
    </row>
    <row r="250" spans="1:4" x14ac:dyDescent="0.3">
      <c r="A250">
        <v>250</v>
      </c>
      <c r="B250">
        <f t="shared" si="9"/>
        <v>-6.2957768608926656E-3</v>
      </c>
      <c r="C250">
        <f t="shared" si="10"/>
        <v>0.99998018166232039</v>
      </c>
      <c r="D250">
        <f t="shared" si="11"/>
        <v>-6.2957352702271195E-3</v>
      </c>
    </row>
    <row r="251" spans="1:4" x14ac:dyDescent="0.3">
      <c r="A251">
        <v>251</v>
      </c>
      <c r="B251">
        <f t="shared" si="9"/>
        <v>6.2957768609099851E-3</v>
      </c>
      <c r="C251">
        <f t="shared" si="10"/>
        <v>0.99998018166232028</v>
      </c>
      <c r="D251">
        <f t="shared" si="11"/>
        <v>6.295735270244439E-3</v>
      </c>
    </row>
    <row r="252" spans="1:4" x14ac:dyDescent="0.3">
      <c r="A252">
        <v>252</v>
      </c>
      <c r="B252">
        <f t="shared" si="9"/>
        <v>1.8887330582712636E-2</v>
      </c>
      <c r="C252">
        <f t="shared" si="10"/>
        <v>0.99982163967404947</v>
      </c>
      <c r="D252">
        <f t="shared" si="11"/>
        <v>1.8886207652546793E-2</v>
      </c>
    </row>
    <row r="253" spans="1:4" x14ac:dyDescent="0.3">
      <c r="A253">
        <v>253</v>
      </c>
      <c r="B253">
        <f t="shared" si="9"/>
        <v>3.1478884304515731E-2</v>
      </c>
      <c r="C253">
        <f t="shared" si="10"/>
        <v>0.9995045808335683</v>
      </c>
      <c r="D253">
        <f t="shared" si="11"/>
        <v>3.1473685718595094E-2</v>
      </c>
    </row>
    <row r="254" spans="1:4" x14ac:dyDescent="0.3">
      <c r="A254">
        <v>254</v>
      </c>
      <c r="B254">
        <f t="shared" si="9"/>
        <v>4.4070438026318381E-2</v>
      </c>
      <c r="C254">
        <f t="shared" si="10"/>
        <v>0.99902905540901188</v>
      </c>
      <c r="D254">
        <f t="shared" si="11"/>
        <v>4.4056173785037421E-2</v>
      </c>
    </row>
    <row r="255" spans="1:4" x14ac:dyDescent="0.3">
      <c r="A255">
        <v>255</v>
      </c>
      <c r="B255">
        <f t="shared" si="9"/>
        <v>5.6661991748121032E-2</v>
      </c>
      <c r="C255">
        <f t="shared" si="10"/>
        <v>0.99839513879262065</v>
      </c>
      <c r="D255">
        <f t="shared" si="11"/>
        <v>5.6631676959663327E-2</v>
      </c>
    </row>
    <row r="256" spans="1:4" x14ac:dyDescent="0.3">
      <c r="A256">
        <v>256</v>
      </c>
      <c r="B256">
        <f t="shared" si="9"/>
        <v>6.9253545469924127E-2</v>
      </c>
      <c r="C256">
        <f t="shared" si="10"/>
        <v>0.9976029314887872</v>
      </c>
      <c r="D256">
        <f t="shared" si="11"/>
        <v>6.9198201457682948E-2</v>
      </c>
    </row>
    <row r="257" spans="1:4" x14ac:dyDescent="0.3">
      <c r="A257">
        <v>257</v>
      </c>
      <c r="B257">
        <f t="shared" ref="B257:B320" si="12">-3.14159265358979+(A257-1)*0.0125915537218028</f>
        <v>8.1845099191726778E-2</v>
      </c>
      <c r="C257">
        <f t="shared" ref="C257:C320" si="13">1*COS(B257)+0</f>
        <v>0.99665255909812189</v>
      </c>
      <c r="D257">
        <f t="shared" ref="D257:D320" si="14">1*SIN(B257)+0+0*COS(B257)</f>
        <v>8.1753754917830532E-2</v>
      </c>
    </row>
    <row r="258" spans="1:4" x14ac:dyDescent="0.3">
      <c r="A258">
        <v>258</v>
      </c>
      <c r="B258">
        <f t="shared" si="12"/>
        <v>9.4436652913529429E-2</v>
      </c>
      <c r="C258">
        <f t="shared" si="13"/>
        <v>0.99554417229753911</v>
      </c>
      <c r="D258">
        <f t="shared" si="14"/>
        <v>9.4296346718246313E-2</v>
      </c>
    </row>
    <row r="259" spans="1:4" x14ac:dyDescent="0.3">
      <c r="A259">
        <v>259</v>
      </c>
      <c r="B259">
        <f t="shared" si="12"/>
        <v>0.10702820663533252</v>
      </c>
      <c r="C259">
        <f t="shared" si="13"/>
        <v>0.99427794681636883</v>
      </c>
      <c r="D259">
        <f t="shared" si="14"/>
        <v>0.10682398829207852</v>
      </c>
    </row>
    <row r="260" spans="1:4" x14ac:dyDescent="0.3">
      <c r="A260">
        <v>260</v>
      </c>
      <c r="B260">
        <f t="shared" si="12"/>
        <v>0.11961976035713517</v>
      </c>
      <c r="C260">
        <f t="shared" si="13"/>
        <v>0.9928540834084949</v>
      </c>
      <c r="D260">
        <f t="shared" si="14"/>
        <v>0.11933469344275972</v>
      </c>
    </row>
    <row r="261" spans="1:4" x14ac:dyDescent="0.3">
      <c r="A261">
        <v>261</v>
      </c>
      <c r="B261">
        <f t="shared" si="12"/>
        <v>0.13221131407893782</v>
      </c>
      <c r="C261">
        <f t="shared" si="13"/>
        <v>0.99127280782052707</v>
      </c>
      <c r="D261">
        <f t="shared" si="14"/>
        <v>0.13182647865891117</v>
      </c>
    </row>
    <row r="262" spans="1:4" x14ac:dyDescent="0.3">
      <c r="A262">
        <v>262</v>
      </c>
      <c r="B262">
        <f t="shared" si="12"/>
        <v>0.14480286780074092</v>
      </c>
      <c r="C262">
        <f t="shared" si="13"/>
        <v>0.98953437075600947</v>
      </c>
      <c r="D262">
        <f t="shared" si="14"/>
        <v>0.14429736342881769</v>
      </c>
    </row>
    <row r="263" spans="1:4" x14ac:dyDescent="0.3">
      <c r="A263">
        <v>263</v>
      </c>
      <c r="B263">
        <f t="shared" si="12"/>
        <v>0.15739442152254357</v>
      </c>
      <c r="C263">
        <f t="shared" si="13"/>
        <v>0.98763904783567336</v>
      </c>
      <c r="D263">
        <f t="shared" si="14"/>
        <v>0.15674537055442664</v>
      </c>
    </row>
    <row r="264" spans="1:4" x14ac:dyDescent="0.3">
      <c r="A264">
        <v>264</v>
      </c>
      <c r="B264">
        <f t="shared" si="12"/>
        <v>0.16998597524434622</v>
      </c>
      <c r="C264">
        <f t="shared" si="13"/>
        <v>0.985587139553738</v>
      </c>
      <c r="D264">
        <f t="shared" si="14"/>
        <v>0.16916852646482591</v>
      </c>
    </row>
    <row r="265" spans="1:4" x14ac:dyDescent="0.3">
      <c r="A265">
        <v>265</v>
      </c>
      <c r="B265">
        <f t="shared" si="12"/>
        <v>0.18257752896614932</v>
      </c>
      <c r="C265">
        <f t="shared" si="13"/>
        <v>0.98337897123026952</v>
      </c>
      <c r="D265">
        <f t="shared" si="14"/>
        <v>0.1815648615291425</v>
      </c>
    </row>
    <row r="266" spans="1:4" x14ac:dyDescent="0.3">
      <c r="A266">
        <v>266</v>
      </c>
      <c r="B266">
        <f t="shared" si="12"/>
        <v>0.19516908268795197</v>
      </c>
      <c r="C266">
        <f t="shared" si="13"/>
        <v>0.98101489295960276</v>
      </c>
      <c r="D266">
        <f t="shared" si="14"/>
        <v>0.19393241036881659</v>
      </c>
    </row>
    <row r="267" spans="1:4" x14ac:dyDescent="0.3">
      <c r="A267">
        <v>267</v>
      </c>
      <c r="B267">
        <f t="shared" si="12"/>
        <v>0.20776063640975462</v>
      </c>
      <c r="C267">
        <f t="shared" si="13"/>
        <v>0.97849527955483528</v>
      </c>
      <c r="D267">
        <f t="shared" si="14"/>
        <v>0.20626921216920552</v>
      </c>
    </row>
    <row r="268" spans="1:4" x14ac:dyDescent="0.3">
      <c r="A268">
        <v>268</v>
      </c>
      <c r="B268">
        <f t="shared" si="12"/>
        <v>0.22035219013155771</v>
      </c>
      <c r="C268">
        <f t="shared" si="13"/>
        <v>0.97582053048840278</v>
      </c>
      <c r="D268">
        <f t="shared" si="14"/>
        <v>0.21857331099045985</v>
      </c>
    </row>
    <row r="269" spans="1:4" x14ac:dyDescent="0.3">
      <c r="A269">
        <v>269</v>
      </c>
      <c r="B269">
        <f t="shared" si="12"/>
        <v>0.23294374385336036</v>
      </c>
      <c r="C269">
        <f t="shared" si="13"/>
        <v>0.97299106982874473</v>
      </c>
      <c r="D269">
        <f t="shared" si="14"/>
        <v>0.23084275607762703</v>
      </c>
    </row>
    <row r="270" spans="1:4" x14ac:dyDescent="0.3">
      <c r="A270">
        <v>270</v>
      </c>
      <c r="B270">
        <f t="shared" si="12"/>
        <v>0.24553529757516301</v>
      </c>
      <c r="C270">
        <f t="shared" si="13"/>
        <v>0.97000734617307038</v>
      </c>
      <c r="D270">
        <f t="shared" si="14"/>
        <v>0.24307560216993654</v>
      </c>
    </row>
    <row r="271" spans="1:4" x14ac:dyDescent="0.3">
      <c r="A271">
        <v>271</v>
      </c>
      <c r="B271">
        <f t="shared" si="12"/>
        <v>0.25812685129696611</v>
      </c>
      <c r="C271">
        <f t="shared" si="13"/>
        <v>0.96686983257623549</v>
      </c>
      <c r="D271">
        <f t="shared" si="14"/>
        <v>0.25526990980921033</v>
      </c>
    </row>
    <row r="272" spans="1:4" x14ac:dyDescent="0.3">
      <c r="A272">
        <v>272</v>
      </c>
      <c r="B272">
        <f t="shared" si="12"/>
        <v>0.27071840501876876</v>
      </c>
      <c r="C272">
        <f t="shared" si="13"/>
        <v>0.96357902647574256</v>
      </c>
      <c r="D272">
        <f t="shared" si="14"/>
        <v>0.267423745647353</v>
      </c>
    </row>
    <row r="273" spans="1:4" x14ac:dyDescent="0.3">
      <c r="A273">
        <v>273</v>
      </c>
      <c r="B273">
        <f t="shared" si="12"/>
        <v>0.28330995874057141</v>
      </c>
      <c r="C273">
        <f t="shared" si="13"/>
        <v>0.96013544961287378</v>
      </c>
      <c r="D273">
        <f t="shared" si="14"/>
        <v>0.27953518275287759</v>
      </c>
    </row>
    <row r="274" spans="1:4" x14ac:dyDescent="0.3">
      <c r="A274">
        <v>274</v>
      </c>
      <c r="B274">
        <f t="shared" si="12"/>
        <v>0.29590151246237451</v>
      </c>
      <c r="C274">
        <f t="shared" si="13"/>
        <v>0.95653964794997159</v>
      </c>
      <c r="D274">
        <f t="shared" si="14"/>
        <v>0.29160230091640965</v>
      </c>
    </row>
    <row r="275" spans="1:4" x14ac:dyDescent="0.3">
      <c r="A275">
        <v>275</v>
      </c>
      <c r="B275">
        <f t="shared" si="12"/>
        <v>0.30849306618417716</v>
      </c>
      <c r="C275">
        <f t="shared" si="13"/>
        <v>0.95279219158387984</v>
      </c>
      <c r="D275">
        <f t="shared" si="14"/>
        <v>0.3036231869551258</v>
      </c>
    </row>
    <row r="276" spans="1:4" x14ac:dyDescent="0.3">
      <c r="A276">
        <v>276</v>
      </c>
      <c r="B276">
        <f t="shared" si="12"/>
        <v>0.32108461990597981</v>
      </c>
      <c r="C276">
        <f t="shared" si="13"/>
        <v>0.9488936746555563</v>
      </c>
      <c r="D276">
        <f t="shared" si="14"/>
        <v>0.3155959350160823</v>
      </c>
    </row>
    <row r="277" spans="1:4" x14ac:dyDescent="0.3">
      <c r="A277">
        <v>277</v>
      </c>
      <c r="B277">
        <f t="shared" si="12"/>
        <v>0.3336761736277829</v>
      </c>
      <c r="C277">
        <f t="shared" si="13"/>
        <v>0.94484471525587566</v>
      </c>
      <c r="D277">
        <f t="shared" si="14"/>
        <v>0.3275186468783774</v>
      </c>
    </row>
    <row r="278" spans="1:4" x14ac:dyDescent="0.3">
      <c r="A278">
        <v>278</v>
      </c>
      <c r="B278">
        <f t="shared" si="12"/>
        <v>0.34626772734958555</v>
      </c>
      <c r="C278">
        <f t="shared" si="13"/>
        <v>0.94064595532763395</v>
      </c>
      <c r="D278">
        <f t="shared" si="14"/>
        <v>0.33938943225410362</v>
      </c>
    </row>
    <row r="279" spans="1:4" x14ac:dyDescent="0.3">
      <c r="A279">
        <v>279</v>
      </c>
      <c r="B279">
        <f t="shared" si="12"/>
        <v>0.3588592810713882</v>
      </c>
      <c r="C279">
        <f t="shared" si="13"/>
        <v>0.93629806056377141</v>
      </c>
      <c r="D279">
        <f t="shared" si="14"/>
        <v>0.35120640908804635</v>
      </c>
    </row>
    <row r="280" spans="1:4" x14ac:dyDescent="0.3">
      <c r="A280">
        <v>280</v>
      </c>
      <c r="B280">
        <f t="shared" si="12"/>
        <v>0.3714508347931913</v>
      </c>
      <c r="C280">
        <f t="shared" si="13"/>
        <v>0.93180172030183006</v>
      </c>
      <c r="D280">
        <f t="shared" si="14"/>
        <v>0.36296770385607335</v>
      </c>
    </row>
    <row r="281" spans="1:4" x14ac:dyDescent="0.3">
      <c r="A281">
        <v>281</v>
      </c>
      <c r="B281">
        <f t="shared" si="12"/>
        <v>0.38404238851499395</v>
      </c>
      <c r="C281">
        <f t="shared" si="13"/>
        <v>0.927157647414663</v>
      </c>
      <c r="D281">
        <f t="shared" si="14"/>
        <v>0.37467145186217138</v>
      </c>
    </row>
    <row r="282" spans="1:4" x14ac:dyDescent="0.3">
      <c r="A282">
        <v>282</v>
      </c>
      <c r="B282">
        <f t="shared" si="12"/>
        <v>0.3966339422367966</v>
      </c>
      <c r="C282">
        <f t="shared" si="13"/>
        <v>0.92236657819741175</v>
      </c>
      <c r="D282">
        <f t="shared" si="14"/>
        <v>0.3863157975340874</v>
      </c>
    </row>
    <row r="283" spans="1:4" x14ac:dyDescent="0.3">
      <c r="A283">
        <v>283</v>
      </c>
      <c r="B283">
        <f t="shared" si="12"/>
        <v>0.40922549595859969</v>
      </c>
      <c r="C283">
        <f t="shared" si="13"/>
        <v>0.91742927225076953</v>
      </c>
      <c r="D283">
        <f t="shared" si="14"/>
        <v>0.39789889471751921</v>
      </c>
    </row>
    <row r="284" spans="1:4" x14ac:dyDescent="0.3">
      <c r="A284">
        <v>284</v>
      </c>
      <c r="B284">
        <f t="shared" si="12"/>
        <v>0.42181704968040235</v>
      </c>
      <c r="C284">
        <f t="shared" si="13"/>
        <v>0.91234651236055175</v>
      </c>
      <c r="D284">
        <f t="shared" si="14"/>
        <v>0.40941890696881295</v>
      </c>
    </row>
    <row r="285" spans="1:4" x14ac:dyDescent="0.3">
      <c r="A285">
        <v>285</v>
      </c>
      <c r="B285">
        <f t="shared" si="12"/>
        <v>0.434408603402205</v>
      </c>
      <c r="C285">
        <f t="shared" si="13"/>
        <v>0.90711910437358789</v>
      </c>
      <c r="D285">
        <f t="shared" si="14"/>
        <v>0.42087400784612472</v>
      </c>
    </row>
    <row r="286" spans="1:4" x14ac:dyDescent="0.3">
      <c r="A286">
        <v>286</v>
      </c>
      <c r="B286">
        <f t="shared" si="12"/>
        <v>0.44700015712400809</v>
      </c>
      <c r="C286">
        <f t="shared" si="13"/>
        <v>0.90174787706995829</v>
      </c>
      <c r="D286">
        <f t="shared" si="14"/>
        <v>0.43226238119899291</v>
      </c>
    </row>
    <row r="287" spans="1:4" x14ac:dyDescent="0.3">
      <c r="A287">
        <v>287</v>
      </c>
      <c r="B287">
        <f t="shared" si="12"/>
        <v>0.45959171084581074</v>
      </c>
      <c r="C287">
        <f t="shared" si="13"/>
        <v>0.89623368203159648</v>
      </c>
      <c r="D287">
        <f t="shared" si="14"/>
        <v>0.44358222145627879</v>
      </c>
    </row>
    <row r="288" spans="1:4" x14ac:dyDescent="0.3">
      <c r="A288">
        <v>288</v>
      </c>
      <c r="B288">
        <f t="shared" si="12"/>
        <v>0.47218326456761339</v>
      </c>
      <c r="C288">
        <f t="shared" si="13"/>
        <v>0.89057739350727372</v>
      </c>
      <c r="D288">
        <f t="shared" si="14"/>
        <v>0.45483173391243337</v>
      </c>
    </row>
    <row r="289" spans="1:4" x14ac:dyDescent="0.3">
      <c r="A289">
        <v>289</v>
      </c>
      <c r="B289">
        <f t="shared" si="12"/>
        <v>0.48477481828941649</v>
      </c>
      <c r="C289">
        <f t="shared" si="13"/>
        <v>0.88477990827399111</v>
      </c>
      <c r="D289">
        <f t="shared" si="14"/>
        <v>0.46600913501203806</v>
      </c>
    </row>
    <row r="290" spans="1:4" x14ac:dyDescent="0.3">
      <c r="A290">
        <v>290</v>
      </c>
      <c r="B290">
        <f t="shared" si="12"/>
        <v>0.49736637201121914</v>
      </c>
      <c r="C290">
        <f t="shared" si="13"/>
        <v>0.87884214549480122</v>
      </c>
      <c r="D290">
        <f t="shared" si="14"/>
        <v>0.47711265263257752</v>
      </c>
    </row>
    <row r="291" spans="1:4" x14ac:dyDescent="0.3">
      <c r="A291">
        <v>291</v>
      </c>
      <c r="B291">
        <f t="shared" si="12"/>
        <v>0.50995792573302179</v>
      </c>
      <c r="C291">
        <f t="shared" si="13"/>
        <v>0.87276504657307785</v>
      </c>
      <c r="D291">
        <f t="shared" si="14"/>
        <v>0.48814052636540345</v>
      </c>
    </row>
    <row r="292" spans="1:4" x14ac:dyDescent="0.3">
      <c r="A292">
        <v>292</v>
      </c>
      <c r="B292">
        <f t="shared" si="12"/>
        <v>0.52254947945482488</v>
      </c>
      <c r="C292">
        <f t="shared" si="13"/>
        <v>0.86654957500326169</v>
      </c>
      <c r="D292">
        <f t="shared" si="14"/>
        <v>0.49909100779483756</v>
      </c>
    </row>
    <row r="293" spans="1:4" x14ac:dyDescent="0.3">
      <c r="A293">
        <v>293</v>
      </c>
      <c r="B293">
        <f t="shared" si="12"/>
        <v>0.53514103317662753</v>
      </c>
      <c r="C293">
        <f t="shared" si="13"/>
        <v>0.86019671621810334</v>
      </c>
      <c r="D293">
        <f t="shared" si="14"/>
        <v>0.50996236077537316</v>
      </c>
    </row>
    <row r="294" spans="1:4" x14ac:dyDescent="0.3">
      <c r="A294">
        <v>294</v>
      </c>
      <c r="B294">
        <f t="shared" si="12"/>
        <v>0.54773258689843018</v>
      </c>
      <c r="C294">
        <f t="shared" si="13"/>
        <v>0.85370747743242703</v>
      </c>
      <c r="D294">
        <f t="shared" si="14"/>
        <v>0.52075286170693491</v>
      </c>
    </row>
    <row r="295" spans="1:4" x14ac:dyDescent="0.3">
      <c r="A295">
        <v>295</v>
      </c>
      <c r="B295">
        <f t="shared" si="12"/>
        <v>0.56032414062023328</v>
      </c>
      <c r="C295">
        <f t="shared" si="13"/>
        <v>0.84708288748344174</v>
      </c>
      <c r="D295">
        <f t="shared" si="14"/>
        <v>0.53146079980814653</v>
      </c>
    </row>
    <row r="296" spans="1:4" x14ac:dyDescent="0.3">
      <c r="A296">
        <v>296</v>
      </c>
      <c r="B296">
        <f t="shared" si="12"/>
        <v>0.57291569434203593</v>
      </c>
      <c r="C296">
        <f t="shared" si="13"/>
        <v>0.84032399666762514</v>
      </c>
      <c r="D296">
        <f t="shared" si="14"/>
        <v>0.54208447738756471</v>
      </c>
    </row>
    <row r="297" spans="1:4" x14ac:dyDescent="0.3">
      <c r="A297">
        <v>297</v>
      </c>
      <c r="B297">
        <f t="shared" si="12"/>
        <v>0.58550724806383858</v>
      </c>
      <c r="C297">
        <f t="shared" si="13"/>
        <v>0.83343187657420248</v>
      </c>
      <c r="D297">
        <f t="shared" si="14"/>
        <v>0.55262221011284307</v>
      </c>
    </row>
    <row r="298" spans="1:4" x14ac:dyDescent="0.3">
      <c r="A298">
        <v>298</v>
      </c>
      <c r="B298">
        <f t="shared" si="12"/>
        <v>0.59809880178564168</v>
      </c>
      <c r="C298">
        <f t="shared" si="13"/>
        <v>0.82640761991525236</v>
      </c>
      <c r="D298">
        <f t="shared" si="14"/>
        <v>0.56307232727777323</v>
      </c>
    </row>
    <row r="299" spans="1:4" x14ac:dyDescent="0.3">
      <c r="A299">
        <v>299</v>
      </c>
      <c r="B299">
        <f t="shared" si="12"/>
        <v>0.61069035550744433</v>
      </c>
      <c r="C299">
        <f t="shared" si="13"/>
        <v>0.81925234035246286</v>
      </c>
      <c r="D299">
        <f t="shared" si="14"/>
        <v>0.57343317206716626</v>
      </c>
    </row>
    <row r="300" spans="1:4" x14ac:dyDescent="0.3">
      <c r="A300">
        <v>300</v>
      </c>
      <c r="B300">
        <f t="shared" si="12"/>
        <v>0.62328190922924698</v>
      </c>
      <c r="C300">
        <f t="shared" si="13"/>
        <v>0.81196717232056503</v>
      </c>
      <c r="D300">
        <f t="shared" si="14"/>
        <v>0.58370310181953444</v>
      </c>
    </row>
    <row r="301" spans="1:4" x14ac:dyDescent="0.3">
      <c r="A301">
        <v>301</v>
      </c>
      <c r="B301">
        <f t="shared" si="12"/>
        <v>0.63587346295105007</v>
      </c>
      <c r="C301">
        <f t="shared" si="13"/>
        <v>0.80455327084747397</v>
      </c>
      <c r="D301">
        <f t="shared" si="14"/>
        <v>0.59388048828752671</v>
      </c>
    </row>
    <row r="302" spans="1:4" x14ac:dyDescent="0.3">
      <c r="A302">
        <v>302</v>
      </c>
      <c r="B302">
        <f t="shared" si="12"/>
        <v>0.64846501667285272</v>
      </c>
      <c r="C302">
        <f t="shared" si="13"/>
        <v>0.79701181137116583</v>
      </c>
      <c r="D302">
        <f t="shared" si="14"/>
        <v>0.60396371789607795</v>
      </c>
    </row>
    <row r="303" spans="1:4" x14ac:dyDescent="0.3">
      <c r="A303">
        <v>303</v>
      </c>
      <c r="B303">
        <f t="shared" si="12"/>
        <v>0.66105657039465537</v>
      </c>
      <c r="C303">
        <f t="shared" si="13"/>
        <v>0.78934398955331608</v>
      </c>
      <c r="D303">
        <f t="shared" si="14"/>
        <v>0.61395119199823567</v>
      </c>
    </row>
    <row r="304" spans="1:4" x14ac:dyDescent="0.3">
      <c r="A304">
        <v>304</v>
      </c>
      <c r="B304">
        <f t="shared" si="12"/>
        <v>0.67364812411645847</v>
      </c>
      <c r="C304">
        <f t="shared" si="13"/>
        <v>0.7815510210897344</v>
      </c>
      <c r="D304">
        <f t="shared" si="14"/>
        <v>0.62384132712861662</v>
      </c>
    </row>
    <row r="305" spans="1:4" x14ac:dyDescent="0.3">
      <c r="A305">
        <v>305</v>
      </c>
      <c r="B305">
        <f t="shared" si="12"/>
        <v>0.68623967783826112</v>
      </c>
      <c r="C305">
        <f t="shared" si="13"/>
        <v>0.77363414151762222</v>
      </c>
      <c r="D305">
        <f t="shared" si="14"/>
        <v>0.63363255525445639</v>
      </c>
    </row>
    <row r="306" spans="1:4" x14ac:dyDescent="0.3">
      <c r="A306">
        <v>306</v>
      </c>
      <c r="B306">
        <f t="shared" si="12"/>
        <v>0.69883123156006377</v>
      </c>
      <c r="C306">
        <f t="shared" si="13"/>
        <v>0.76559460601968321</v>
      </c>
      <c r="D306">
        <f t="shared" si="14"/>
        <v>0.64332332402421566</v>
      </c>
    </row>
    <row r="307" spans="1:4" x14ac:dyDescent="0.3">
      <c r="A307">
        <v>307</v>
      </c>
      <c r="B307">
        <f t="shared" si="12"/>
        <v>0.71142278528186687</v>
      </c>
      <c r="C307">
        <f t="shared" si="13"/>
        <v>0.75743368922512078</v>
      </c>
      <c r="D307">
        <f t="shared" si="14"/>
        <v>0.65291209701369679</v>
      </c>
    </row>
    <row r="308" spans="1:4" x14ac:dyDescent="0.3">
      <c r="A308">
        <v>308</v>
      </c>
      <c r="B308">
        <f t="shared" si="12"/>
        <v>0.72401433900366952</v>
      </c>
      <c r="C308">
        <f t="shared" si="13"/>
        <v>0.74915268500755272</v>
      </c>
      <c r="D308">
        <f t="shared" si="14"/>
        <v>0.66239735396963551</v>
      </c>
    </row>
    <row r="309" spans="1:4" x14ac:dyDescent="0.3">
      <c r="A309">
        <v>309</v>
      </c>
      <c r="B309">
        <f t="shared" si="12"/>
        <v>0.73660589272547217</v>
      </c>
      <c r="C309">
        <f t="shared" si="13"/>
        <v>0.74075290627987178</v>
      </c>
      <c r="D309">
        <f t="shared" si="14"/>
        <v>0.6717775910507312</v>
      </c>
    </row>
    <row r="310" spans="1:4" x14ac:dyDescent="0.3">
      <c r="A310">
        <v>310</v>
      </c>
      <c r="B310">
        <f t="shared" si="12"/>
        <v>0.74919744644727526</v>
      </c>
      <c r="C310">
        <f t="shared" si="13"/>
        <v>0.73223568478609136</v>
      </c>
      <c r="D310">
        <f t="shared" si="14"/>
        <v>0.68105132106607336</v>
      </c>
    </row>
    <row r="311" spans="1:4" x14ac:dyDescent="0.3">
      <c r="A311">
        <v>311</v>
      </c>
      <c r="B311">
        <f t="shared" si="12"/>
        <v>0.76178900016907791</v>
      </c>
      <c r="C311">
        <f t="shared" si="13"/>
        <v>0.72360237089020418</v>
      </c>
      <c r="D311">
        <f t="shared" si="14"/>
        <v>0.69021707371092711</v>
      </c>
    </row>
    <row r="312" spans="1:4" x14ac:dyDescent="0.3">
      <c r="A312">
        <v>312</v>
      </c>
      <c r="B312">
        <f t="shared" si="12"/>
        <v>0.77438055389088056</v>
      </c>
      <c r="C312">
        <f t="shared" si="13"/>
        <v>0.71485433336208692</v>
      </c>
      <c r="D312">
        <f t="shared" si="14"/>
        <v>0.69927339579984471</v>
      </c>
    </row>
    <row r="313" spans="1:4" x14ac:dyDescent="0.3">
      <c r="A313">
        <v>313</v>
      </c>
      <c r="B313">
        <f t="shared" si="12"/>
        <v>0.78697210761268366</v>
      </c>
      <c r="C313">
        <f t="shared" si="13"/>
        <v>0.70599295916048987</v>
      </c>
      <c r="D313">
        <f t="shared" si="14"/>
        <v>0.7082188514970601</v>
      </c>
    </row>
    <row r="314" spans="1:4" x14ac:dyDescent="0.3">
      <c r="A314">
        <v>314</v>
      </c>
      <c r="B314">
        <f t="shared" si="12"/>
        <v>0.79956366133448631</v>
      </c>
      <c r="C314">
        <f t="shared" si="13"/>
        <v>0.69701965321314163</v>
      </c>
      <c r="D314">
        <f t="shared" si="14"/>
        <v>0.71705202254413303</v>
      </c>
    </row>
    <row r="315" spans="1:4" x14ac:dyDescent="0.3">
      <c r="A315">
        <v>315</v>
      </c>
      <c r="B315">
        <f t="shared" si="12"/>
        <v>0.81215521505628896</v>
      </c>
      <c r="C315">
        <f t="shared" si="13"/>
        <v>0.68793583819400306</v>
      </c>
      <c r="D315">
        <f t="shared" si="14"/>
        <v>0.72577150848480843</v>
      </c>
    </row>
    <row r="316" spans="1:4" x14ac:dyDescent="0.3">
      <c r="A316">
        <v>316</v>
      </c>
      <c r="B316">
        <f t="shared" si="12"/>
        <v>0.82474676877809205</v>
      </c>
      <c r="C316">
        <f t="shared" si="13"/>
        <v>0.67874295429771048</v>
      </c>
      <c r="D316">
        <f t="shared" si="14"/>
        <v>0.73437592688705156</v>
      </c>
    </row>
    <row r="317" spans="1:4" x14ac:dyDescent="0.3">
      <c r="A317">
        <v>317</v>
      </c>
      <c r="B317">
        <f t="shared" si="12"/>
        <v>0.8373383224998947</v>
      </c>
      <c r="C317">
        <f t="shared" si="13"/>
        <v>0.66944245901124033</v>
      </c>
      <c r="D317">
        <f t="shared" si="14"/>
        <v>0.74286391356222425</v>
      </c>
    </row>
    <row r="318" spans="1:4" x14ac:dyDescent="0.3">
      <c r="A318">
        <v>318</v>
      </c>
      <c r="B318">
        <f t="shared" si="12"/>
        <v>0.84992987622169736</v>
      </c>
      <c r="C318">
        <f t="shared" si="13"/>
        <v>0.66003582688283002</v>
      </c>
      <c r="D318">
        <f t="shared" si="14"/>
        <v>0.75123412278137291</v>
      </c>
    </row>
    <row r="319" spans="1:4" x14ac:dyDescent="0.3">
      <c r="A319">
        <v>319</v>
      </c>
      <c r="B319">
        <f t="shared" si="12"/>
        <v>0.86252142994350001</v>
      </c>
      <c r="C319">
        <f t="shared" si="13"/>
        <v>0.65052454928819659</v>
      </c>
      <c r="D319">
        <f t="shared" si="14"/>
        <v>0.7594852274885856</v>
      </c>
    </row>
    <row r="320" spans="1:4" x14ac:dyDescent="0.3">
      <c r="A320">
        <v>320</v>
      </c>
      <c r="B320">
        <f t="shared" si="12"/>
        <v>0.8751129836653031</v>
      </c>
      <c r="C320">
        <f t="shared" si="13"/>
        <v>0.64091013419408605</v>
      </c>
      <c r="D320">
        <f t="shared" si="14"/>
        <v>0.76761591951139119</v>
      </c>
    </row>
    <row r="321" spans="1:4" x14ac:dyDescent="0.3">
      <c r="A321">
        <v>321</v>
      </c>
      <c r="B321">
        <f t="shared" ref="B321:B384" si="15">-3.14159265358979+(A321-1)*0.0125915537218028</f>
        <v>0.8877045373871062</v>
      </c>
      <c r="C321">
        <f t="shared" ref="C321:C384" si="16">1*COS(B321)+0</f>
        <v>0.63119410591919323</v>
      </c>
      <c r="D321">
        <f t="shared" ref="D321:D384" si="17">1*SIN(B321)+0+0*COS(B321)</f>
        <v>0.77562490976816245</v>
      </c>
    </row>
    <row r="322" spans="1:4" x14ac:dyDescent="0.3">
      <c r="A322">
        <v>322</v>
      </c>
      <c r="B322">
        <f t="shared" si="15"/>
        <v>0.9002960911089084</v>
      </c>
      <c r="C322">
        <f t="shared" si="16"/>
        <v>0.6213780048924884</v>
      </c>
      <c r="D322">
        <f t="shared" si="17"/>
        <v>0.78351092847249459</v>
      </c>
    </row>
    <row r="323" spans="1:4" x14ac:dyDescent="0.3">
      <c r="A323">
        <v>323</v>
      </c>
      <c r="B323">
        <f t="shared" si="15"/>
        <v>0.9128876448307115</v>
      </c>
      <c r="C323">
        <f t="shared" si="16"/>
        <v>0.6114633874089872</v>
      </c>
      <c r="D323">
        <f t="shared" si="17"/>
        <v>0.79127272533452508</v>
      </c>
    </row>
    <row r="324" spans="1:4" x14ac:dyDescent="0.3">
      <c r="A324">
        <v>324</v>
      </c>
      <c r="B324">
        <f t="shared" si="15"/>
        <v>0.92547919855251459</v>
      </c>
      <c r="C324">
        <f t="shared" si="16"/>
        <v>0.60145182538301178</v>
      </c>
      <c r="D324">
        <f t="shared" si="17"/>
        <v>0.79890906975915799</v>
      </c>
    </row>
    <row r="325" spans="1:4" x14ac:dyDescent="0.3">
      <c r="A325">
        <v>325</v>
      </c>
      <c r="B325">
        <f t="shared" si="15"/>
        <v>0.9380707522743168</v>
      </c>
      <c r="C325">
        <f t="shared" si="16"/>
        <v>0.5913449060989695</v>
      </c>
      <c r="D325">
        <f t="shared" si="17"/>
        <v>0.80641875104117022</v>
      </c>
    </row>
    <row r="326" spans="1:4" x14ac:dyDescent="0.3">
      <c r="A326">
        <v>326</v>
      </c>
      <c r="B326">
        <f t="shared" si="15"/>
        <v>0.95066230599611989</v>
      </c>
      <c r="C326">
        <f t="shared" si="16"/>
        <v>0.58114423195969445</v>
      </c>
      <c r="D326">
        <f t="shared" si="17"/>
        <v>0.81380057855716526</v>
      </c>
    </row>
    <row r="327" spans="1:4" x14ac:dyDescent="0.3">
      <c r="A327">
        <v>327</v>
      </c>
      <c r="B327">
        <f t="shared" si="15"/>
        <v>0.96325385971792299</v>
      </c>
      <c r="C327">
        <f t="shared" si="16"/>
        <v>0.57085142023239865</v>
      </c>
      <c r="D327">
        <f t="shared" si="17"/>
        <v>0.8210533819543363</v>
      </c>
    </row>
    <row r="328" spans="1:4" x14ac:dyDescent="0.3">
      <c r="A328">
        <v>328</v>
      </c>
      <c r="B328">
        <f t="shared" si="15"/>
        <v>0.9758454134397252</v>
      </c>
      <c r="C328">
        <f t="shared" si="16"/>
        <v>0.56046810279226011</v>
      </c>
      <c r="D328">
        <f t="shared" si="17"/>
        <v>0.82817601133602303</v>
      </c>
    </row>
    <row r="329" spans="1:4" x14ac:dyDescent="0.3">
      <c r="A329">
        <v>329</v>
      </c>
      <c r="B329">
        <f t="shared" si="15"/>
        <v>0.98843696716152829</v>
      </c>
      <c r="C329">
        <f t="shared" si="16"/>
        <v>0.5499959258636945</v>
      </c>
      <c r="D329">
        <f t="shared" si="17"/>
        <v>0.83516733744402227</v>
      </c>
    </row>
    <row r="330" spans="1:4" x14ac:dyDescent="0.3">
      <c r="A330">
        <v>330</v>
      </c>
      <c r="B330">
        <f t="shared" si="15"/>
        <v>1.0010285208833314</v>
      </c>
      <c r="C330">
        <f t="shared" si="16"/>
        <v>0.53943654975935906</v>
      </c>
      <c r="D330">
        <f t="shared" si="17"/>
        <v>0.84202625183762447</v>
      </c>
    </row>
    <row r="331" spans="1:4" x14ac:dyDescent="0.3">
      <c r="A331">
        <v>331</v>
      </c>
      <c r="B331">
        <f t="shared" si="15"/>
        <v>1.0136200746051336</v>
      </c>
      <c r="C331">
        <f t="shared" si="16"/>
        <v>0.52879164861691552</v>
      </c>
      <c r="D331">
        <f t="shared" si="17"/>
        <v>0.84875166706935223</v>
      </c>
    </row>
    <row r="332" spans="1:4" x14ac:dyDescent="0.3">
      <c r="A332">
        <v>332</v>
      </c>
      <c r="B332">
        <f t="shared" si="15"/>
        <v>1.0262116283269367</v>
      </c>
      <c r="C332">
        <f t="shared" si="16"/>
        <v>0.51806291013360184</v>
      </c>
      <c r="D332">
        <f t="shared" si="17"/>
        <v>0.85534251685737195</v>
      </c>
    </row>
    <row r="333" spans="1:4" x14ac:dyDescent="0.3">
      <c r="A333">
        <v>333</v>
      </c>
      <c r="B333">
        <f t="shared" si="15"/>
        <v>1.0388031820487398</v>
      </c>
      <c r="C333">
        <f t="shared" si="16"/>
        <v>0.50725203529866036</v>
      </c>
      <c r="D333">
        <f t="shared" si="17"/>
        <v>0.86179775625454413</v>
      </c>
    </row>
    <row r="334" spans="1:4" x14ac:dyDescent="0.3">
      <c r="A334">
        <v>334</v>
      </c>
      <c r="B334">
        <f t="shared" si="15"/>
        <v>1.051394735770542</v>
      </c>
      <c r="C334">
        <f t="shared" si="16"/>
        <v>0.496360738123652</v>
      </c>
      <c r="D334">
        <f t="shared" si="17"/>
        <v>0.86811636181409657</v>
      </c>
    </row>
    <row r="335" spans="1:4" x14ac:dyDescent="0.3">
      <c r="A335">
        <v>335</v>
      </c>
      <c r="B335">
        <f t="shared" si="15"/>
        <v>1.0639862894923451</v>
      </c>
      <c r="C335">
        <f t="shared" si="16"/>
        <v>0.48539074537070576</v>
      </c>
      <c r="D335">
        <f t="shared" si="17"/>
        <v>0.87429733175188784</v>
      </c>
    </row>
    <row r="336" spans="1:4" x14ac:dyDescent="0.3">
      <c r="A336">
        <v>336</v>
      </c>
      <c r="B336">
        <f t="shared" si="15"/>
        <v>1.0765778432141482</v>
      </c>
      <c r="C336">
        <f t="shared" si="16"/>
        <v>0.4743437962787535</v>
      </c>
      <c r="D336">
        <f t="shared" si="17"/>
        <v>0.88033968610523317</v>
      </c>
    </row>
    <row r="337" spans="1:4" x14ac:dyDescent="0.3">
      <c r="A337">
        <v>337</v>
      </c>
      <c r="B337">
        <f t="shared" si="15"/>
        <v>1.0891693969359504</v>
      </c>
      <c r="C337">
        <f t="shared" si="16"/>
        <v>0.46322164228778012</v>
      </c>
      <c r="D337">
        <f t="shared" si="17"/>
        <v>0.88624246688827313</v>
      </c>
    </row>
    <row r="338" spans="1:4" x14ac:dyDescent="0.3">
      <c r="A338">
        <v>338</v>
      </c>
      <c r="B338">
        <f t="shared" si="15"/>
        <v>1.1017609506577535</v>
      </c>
      <c r="C338">
        <f t="shared" si="16"/>
        <v>0.4520260467611385</v>
      </c>
      <c r="D338">
        <f t="shared" si="17"/>
        <v>0.89200473824385995</v>
      </c>
    </row>
    <row r="339" spans="1:4" x14ac:dyDescent="0.3">
      <c r="A339">
        <v>339</v>
      </c>
      <c r="B339">
        <f t="shared" si="15"/>
        <v>1.1143525043795566</v>
      </c>
      <c r="C339">
        <f t="shared" si="16"/>
        <v>0.44075878470598173</v>
      </c>
      <c r="D339">
        <f t="shared" si="17"/>
        <v>0.89762558659192981</v>
      </c>
    </row>
    <row r="340" spans="1:4" x14ac:dyDescent="0.3">
      <c r="A340">
        <v>340</v>
      </c>
      <c r="B340">
        <f t="shared" si="15"/>
        <v>1.1269440581013588</v>
      </c>
      <c r="C340">
        <f t="shared" si="16"/>
        <v>0.42942164249184217</v>
      </c>
      <c r="D340">
        <f t="shared" si="17"/>
        <v>0.90310412077434821</v>
      </c>
    </row>
    <row r="341" spans="1:4" x14ac:dyDescent="0.3">
      <c r="A341">
        <v>341</v>
      </c>
      <c r="B341">
        <f t="shared" si="15"/>
        <v>1.1395356118231619</v>
      </c>
      <c r="C341">
        <f t="shared" si="16"/>
        <v>0.41801641756740859</v>
      </c>
      <c r="D341">
        <f t="shared" si="17"/>
        <v>0.90843947219619969</v>
      </c>
    </row>
    <row r="342" spans="1:4" x14ac:dyDescent="0.3">
      <c r="A342">
        <v>342</v>
      </c>
      <c r="B342">
        <f t="shared" si="15"/>
        <v>1.152127165544965</v>
      </c>
      <c r="C342">
        <f t="shared" si="16"/>
        <v>0.40654491817555433</v>
      </c>
      <c r="D342">
        <f t="shared" si="17"/>
        <v>0.91363079496349719</v>
      </c>
    </row>
    <row r="343" spans="1:4" x14ac:dyDescent="0.3">
      <c r="A343">
        <v>343</v>
      </c>
      <c r="B343">
        <f t="shared" si="15"/>
        <v>1.1647187192667672</v>
      </c>
      <c r="C343">
        <f t="shared" si="16"/>
        <v>0.39500896306664679</v>
      </c>
      <c r="D343">
        <f t="shared" si="17"/>
        <v>0.91867726601729538</v>
      </c>
    </row>
    <row r="344" spans="1:4" x14ac:dyDescent="0.3">
      <c r="A344">
        <v>344</v>
      </c>
      <c r="B344">
        <f t="shared" si="15"/>
        <v>1.1773102729885703</v>
      </c>
      <c r="C344">
        <f t="shared" si="16"/>
        <v>0.38341038121019116</v>
      </c>
      <c r="D344">
        <f t="shared" si="17"/>
        <v>0.92357808526418372</v>
      </c>
    </row>
    <row r="345" spans="1:4" x14ac:dyDescent="0.3">
      <c r="A345">
        <v>345</v>
      </c>
      <c r="B345">
        <f t="shared" si="15"/>
        <v>1.1899018267103734</v>
      </c>
      <c r="C345">
        <f t="shared" si="16"/>
        <v>0.37175101150486073</v>
      </c>
      <c r="D345">
        <f t="shared" si="17"/>
        <v>0.9283324757031356</v>
      </c>
    </row>
    <row r="346" spans="1:4" x14ac:dyDescent="0.3">
      <c r="A346">
        <v>346</v>
      </c>
      <c r="B346">
        <f t="shared" si="15"/>
        <v>1.2024933804321756</v>
      </c>
      <c r="C346">
        <f t="shared" si="16"/>
        <v>0.3600327024869463</v>
      </c>
      <c r="D346">
        <f t="shared" si="17"/>
        <v>0.93293968354869872</v>
      </c>
    </row>
    <row r="347" spans="1:4" x14ac:dyDescent="0.3">
      <c r="A347">
        <v>347</v>
      </c>
      <c r="B347">
        <f t="shared" si="15"/>
        <v>1.2150849341539787</v>
      </c>
      <c r="C347">
        <f t="shared" si="16"/>
        <v>0.34825731203727722</v>
      </c>
      <c r="D347">
        <f t="shared" si="17"/>
        <v>0.93739897835050501</v>
      </c>
    </row>
    <row r="348" spans="1:4" x14ac:dyDescent="0.3">
      <c r="A348">
        <v>348</v>
      </c>
      <c r="B348">
        <f t="shared" si="15"/>
        <v>1.2276764878757818</v>
      </c>
      <c r="C348">
        <f t="shared" si="16"/>
        <v>0.33642670708666833</v>
      </c>
      <c r="D348">
        <f t="shared" si="17"/>
        <v>0.9417096531090785</v>
      </c>
    </row>
    <row r="349" spans="1:4" x14ac:dyDescent="0.3">
      <c r="A349">
        <v>349</v>
      </c>
      <c r="B349">
        <f t="shared" si="15"/>
        <v>1.240268041597584</v>
      </c>
      <c r="C349">
        <f t="shared" si="16"/>
        <v>0.32454276331992477</v>
      </c>
      <c r="D349">
        <f t="shared" si="17"/>
        <v>0.94587102438792747</v>
      </c>
    </row>
    <row r="350" spans="1:4" x14ac:dyDescent="0.3">
      <c r="A350">
        <v>350</v>
      </c>
      <c r="B350">
        <f t="shared" si="15"/>
        <v>1.2528595953193871</v>
      </c>
      <c r="C350">
        <f t="shared" si="16"/>
        <v>0.31260736487845869</v>
      </c>
      <c r="D350">
        <f t="shared" si="17"/>
        <v>0.9498824324219004</v>
      </c>
    </row>
    <row r="351" spans="1:4" x14ac:dyDescent="0.3">
      <c r="A351">
        <v>351</v>
      </c>
      <c r="B351">
        <f t="shared" si="15"/>
        <v>1.2654511490411902</v>
      </c>
      <c r="C351">
        <f t="shared" si="16"/>
        <v>0.30062240406157281</v>
      </c>
      <c r="D351">
        <f t="shared" si="17"/>
        <v>0.95374324122178733</v>
      </c>
    </row>
    <row r="352" spans="1:4" x14ac:dyDescent="0.3">
      <c r="A352">
        <v>352</v>
      </c>
      <c r="B352">
        <f t="shared" si="15"/>
        <v>1.2780427027629924</v>
      </c>
      <c r="C352">
        <f t="shared" si="16"/>
        <v>0.28858978102644323</v>
      </c>
      <c r="D352">
        <f t="shared" si="17"/>
        <v>0.95745283867515352</v>
      </c>
    </row>
    <row r="353" spans="1:4" x14ac:dyDescent="0.3">
      <c r="A353">
        <v>353</v>
      </c>
      <c r="B353">
        <f t="shared" si="15"/>
        <v>1.2906342564847955</v>
      </c>
      <c r="C353">
        <f t="shared" si="16"/>
        <v>0.27651140348685604</v>
      </c>
      <c r="D353">
        <f t="shared" si="17"/>
        <v>0.96101063664338759</v>
      </c>
    </row>
    <row r="354" spans="1:4" x14ac:dyDescent="0.3">
      <c r="A354">
        <v>354</v>
      </c>
      <c r="B354">
        <f t="shared" si="15"/>
        <v>1.3032258102065986</v>
      </c>
      <c r="C354">
        <f t="shared" si="16"/>
        <v>0.26438918641075382</v>
      </c>
      <c r="D354">
        <f t="shared" si="17"/>
        <v>0.96441607105494653</v>
      </c>
    </row>
    <row r="355" spans="1:4" x14ac:dyDescent="0.3">
      <c r="A355">
        <v>355</v>
      </c>
      <c r="B355">
        <f t="shared" si="15"/>
        <v>1.3158173639284008</v>
      </c>
      <c r="C355">
        <f t="shared" si="16"/>
        <v>0.25222505171662413</v>
      </c>
      <c r="D355">
        <f t="shared" si="17"/>
        <v>0.96766860199478744</v>
      </c>
    </row>
    <row r="356" spans="1:4" x14ac:dyDescent="0.3">
      <c r="A356">
        <v>356</v>
      </c>
      <c r="B356">
        <f t="shared" si="15"/>
        <v>1.3284089176502039</v>
      </c>
      <c r="C356">
        <f t="shared" si="16"/>
        <v>0.24002092796878616</v>
      </c>
      <c r="D356">
        <f t="shared" si="17"/>
        <v>0.97076771378996884</v>
      </c>
    </row>
    <row r="357" spans="1:4" x14ac:dyDescent="0.3">
      <c r="A357">
        <v>357</v>
      </c>
      <c r="B357">
        <f t="shared" si="15"/>
        <v>1.341000471372007</v>
      </c>
      <c r="C357">
        <f t="shared" si="16"/>
        <v>0.22777875007163151</v>
      </c>
      <c r="D357">
        <f t="shared" si="17"/>
        <v>0.97371291509140678</v>
      </c>
    </row>
    <row r="358" spans="1:4" x14ac:dyDescent="0.3">
      <c r="A358">
        <v>358</v>
      </c>
      <c r="B358">
        <f t="shared" si="15"/>
        <v>1.3535920250938092</v>
      </c>
      <c r="C358">
        <f t="shared" si="16"/>
        <v>0.21550045896285175</v>
      </c>
      <c r="D358">
        <f t="shared" si="17"/>
        <v>0.976503738951777</v>
      </c>
    </row>
    <row r="359" spans="1:4" x14ac:dyDescent="0.3">
      <c r="A359">
        <v>359</v>
      </c>
      <c r="B359">
        <f t="shared" si="15"/>
        <v>1.3661835788156123</v>
      </c>
      <c r="C359">
        <f t="shared" si="16"/>
        <v>0.20318800130570971</v>
      </c>
      <c r="D359">
        <f t="shared" si="17"/>
        <v>0.97913974289954697</v>
      </c>
    </row>
    <row r="360" spans="1:4" x14ac:dyDescent="0.3">
      <c r="A360">
        <v>360</v>
      </c>
      <c r="B360">
        <f t="shared" si="15"/>
        <v>1.3787751325374153</v>
      </c>
      <c r="C360">
        <f t="shared" si="16"/>
        <v>0.19084332918041072</v>
      </c>
      <c r="D360">
        <f t="shared" si="17"/>
        <v>0.9816205090091269</v>
      </c>
    </row>
    <row r="361" spans="1:4" x14ac:dyDescent="0.3">
      <c r="A361">
        <v>361</v>
      </c>
      <c r="B361">
        <f t="shared" si="15"/>
        <v>1.3913666862592176</v>
      </c>
      <c r="C361">
        <f t="shared" si="16"/>
        <v>0.17846839977460716</v>
      </c>
      <c r="D361">
        <f t="shared" si="17"/>
        <v>0.98394564396713047</v>
      </c>
    </row>
    <row r="362" spans="1:4" x14ac:dyDescent="0.3">
      <c r="A362">
        <v>362</v>
      </c>
      <c r="B362">
        <f t="shared" si="15"/>
        <v>1.4039582399810207</v>
      </c>
      <c r="C362">
        <f t="shared" si="16"/>
        <v>0.16606517507309324</v>
      </c>
      <c r="D362">
        <f t="shared" si="17"/>
        <v>0.98611477913473278</v>
      </c>
    </row>
    <row r="363" spans="1:4" x14ac:dyDescent="0.3">
      <c r="A363">
        <v>363</v>
      </c>
      <c r="B363">
        <f t="shared" si="15"/>
        <v>1.4165497937028237</v>
      </c>
      <c r="C363">
        <f t="shared" si="16"/>
        <v>0.15363562154674718</v>
      </c>
      <c r="D363">
        <f t="shared" si="17"/>
        <v>0.988127570606116</v>
      </c>
    </row>
    <row r="364" spans="1:4" x14ac:dyDescent="0.3">
      <c r="A364">
        <v>364</v>
      </c>
      <c r="B364">
        <f t="shared" si="15"/>
        <v>1.429141347424626</v>
      </c>
      <c r="C364">
        <f t="shared" si="16"/>
        <v>0.14118170984075415</v>
      </c>
      <c r="D364">
        <f t="shared" si="17"/>
        <v>0.98998369926299346</v>
      </c>
    </row>
    <row r="365" spans="1:4" x14ac:dyDescent="0.3">
      <c r="A365">
        <v>365</v>
      </c>
      <c r="B365">
        <f t="shared" si="15"/>
        <v>1.441732901146429</v>
      </c>
      <c r="C365">
        <f t="shared" si="16"/>
        <v>0.12870541446216746</v>
      </c>
      <c r="D365">
        <f t="shared" si="17"/>
        <v>0.99168287082520579</v>
      </c>
    </row>
    <row r="366" spans="1:4" x14ac:dyDescent="0.3">
      <c r="A366">
        <v>366</v>
      </c>
      <c r="B366">
        <f t="shared" si="15"/>
        <v>1.4543244548682321</v>
      </c>
      <c r="C366">
        <f t="shared" si="16"/>
        <v>0.11620871346686536</v>
      </c>
      <c r="D366">
        <f t="shared" si="17"/>
        <v>0.99322481589737577</v>
      </c>
    </row>
    <row r="367" spans="1:4" x14ac:dyDescent="0.3">
      <c r="A367">
        <v>367</v>
      </c>
      <c r="B367">
        <f t="shared" si="15"/>
        <v>1.4669160085900343</v>
      </c>
      <c r="C367">
        <f t="shared" si="16"/>
        <v>0.10369358814593721</v>
      </c>
      <c r="D367">
        <f t="shared" si="17"/>
        <v>0.99460929001162102</v>
      </c>
    </row>
    <row r="368" spans="1:4" x14ac:dyDescent="0.3">
      <c r="A368">
        <v>368</v>
      </c>
      <c r="B368">
        <f t="shared" si="15"/>
        <v>1.4795075623118374</v>
      </c>
      <c r="C368">
        <f t="shared" si="16"/>
        <v>9.1162022711556878E-2</v>
      </c>
      <c r="D368">
        <f t="shared" si="17"/>
        <v>0.99583607366631266</v>
      </c>
    </row>
    <row r="369" spans="1:4" x14ac:dyDescent="0.3">
      <c r="A369">
        <v>369</v>
      </c>
      <c r="B369">
        <f t="shared" si="15"/>
        <v>1.4920991160336405</v>
      </c>
      <c r="C369">
        <f t="shared" si="16"/>
        <v>7.8616003982400817E-2</v>
      </c>
      <c r="D369">
        <f t="shared" si="17"/>
        <v>0.99690497236087605</v>
      </c>
    </row>
    <row r="370" spans="1:4" x14ac:dyDescent="0.3">
      <c r="A370">
        <v>370</v>
      </c>
      <c r="B370">
        <f t="shared" si="15"/>
        <v>1.5046906697554427</v>
      </c>
      <c r="C370">
        <f t="shared" si="16"/>
        <v>6.6057521068644959E-2</v>
      </c>
      <c r="D370">
        <f t="shared" si="17"/>
        <v>0.99781581662662855</v>
      </c>
    </row>
    <row r="371" spans="1:4" x14ac:dyDescent="0.3">
      <c r="A371">
        <v>371</v>
      </c>
      <c r="B371">
        <f t="shared" si="15"/>
        <v>1.5172822234772458</v>
      </c>
      <c r="C371">
        <f t="shared" si="16"/>
        <v>5.3488565056598353E-2</v>
      </c>
      <c r="D371">
        <f t="shared" si="17"/>
        <v>0.99856846205364713</v>
      </c>
    </row>
    <row r="372" spans="1:4" x14ac:dyDescent="0.3">
      <c r="A372">
        <v>372</v>
      </c>
      <c r="B372">
        <f t="shared" si="15"/>
        <v>1.5298737771990489</v>
      </c>
      <c r="C372">
        <f t="shared" si="16"/>
        <v>4.091112869303147E-2</v>
      </c>
      <c r="D372">
        <f t="shared" si="17"/>
        <v>0.99916278931366442</v>
      </c>
    </row>
    <row r="373" spans="1:4" x14ac:dyDescent="0.3">
      <c r="A373">
        <v>373</v>
      </c>
      <c r="B373">
        <f t="shared" si="15"/>
        <v>1.5424653309208511</v>
      </c>
      <c r="C373">
        <f t="shared" si="16"/>
        <v>2.8327206069233189E-2</v>
      </c>
      <c r="D373">
        <f t="shared" si="17"/>
        <v>0.99959870417898766</v>
      </c>
    </row>
    <row r="374" spans="1:4" x14ac:dyDescent="0.3">
      <c r="A374">
        <v>374</v>
      </c>
      <c r="B374">
        <f t="shared" si="15"/>
        <v>1.5550568846426542</v>
      </c>
      <c r="C374">
        <f t="shared" si="16"/>
        <v>1.5738792304854712E-2</v>
      </c>
      <c r="D374">
        <f t="shared" si="17"/>
        <v>0.99987613753743754</v>
      </c>
    </row>
    <row r="375" spans="1:4" x14ac:dyDescent="0.3">
      <c r="A375">
        <v>375</v>
      </c>
      <c r="B375">
        <f t="shared" si="15"/>
        <v>1.5676484383644573</v>
      </c>
      <c r="C375">
        <f t="shared" si="16"/>
        <v>3.1478832315983678E-3</v>
      </c>
      <c r="D375">
        <f t="shared" si="17"/>
        <v>0.99999504540330608</v>
      </c>
    </row>
    <row r="376" spans="1:4" x14ac:dyDescent="0.3">
      <c r="A376">
        <v>376</v>
      </c>
      <c r="B376">
        <f t="shared" si="15"/>
        <v>1.5802399920862595</v>
      </c>
      <c r="C376">
        <f t="shared" si="16"/>
        <v>-9.4435249232144355E-3</v>
      </c>
      <c r="D376">
        <f t="shared" si="17"/>
        <v>0.99995540892433032</v>
      </c>
    </row>
    <row r="377" spans="1:4" x14ac:dyDescent="0.3">
      <c r="A377">
        <v>377</v>
      </c>
      <c r="B377">
        <f t="shared" si="15"/>
        <v>1.5928315458080626</v>
      </c>
      <c r="C377">
        <f t="shared" si="16"/>
        <v>-2.2033435853138009E-2</v>
      </c>
      <c r="D377">
        <f t="shared" si="17"/>
        <v>0.99975723438468078</v>
      </c>
    </row>
    <row r="378" spans="1:4" x14ac:dyDescent="0.3">
      <c r="A378">
        <v>378</v>
      </c>
      <c r="B378">
        <f t="shared" si="15"/>
        <v>1.6054230995298657</v>
      </c>
      <c r="C378">
        <f t="shared" si="16"/>
        <v>-3.461985348910171E-2</v>
      </c>
      <c r="D378">
        <f t="shared" si="17"/>
        <v>0.99940055320396592</v>
      </c>
    </row>
    <row r="379" spans="1:4" x14ac:dyDescent="0.3">
      <c r="A379">
        <v>379</v>
      </c>
      <c r="B379">
        <f t="shared" si="15"/>
        <v>1.6180146532516679</v>
      </c>
      <c r="C379">
        <f t="shared" si="16"/>
        <v>-4.7200782315879652E-2</v>
      </c>
      <c r="D379">
        <f t="shared" si="17"/>
        <v>0.99888542193224994</v>
      </c>
    </row>
    <row r="380" spans="1:4" x14ac:dyDescent="0.3">
      <c r="A380">
        <v>380</v>
      </c>
      <c r="B380">
        <f t="shared" si="15"/>
        <v>1.630606206973471</v>
      </c>
      <c r="C380">
        <f t="shared" si="16"/>
        <v>-5.977422768847257E-2</v>
      </c>
      <c r="D380">
        <f t="shared" si="17"/>
        <v>0.99821192224108735</v>
      </c>
    </row>
    <row r="381" spans="1:4" x14ac:dyDescent="0.3">
      <c r="A381">
        <v>381</v>
      </c>
      <c r="B381">
        <f t="shared" si="15"/>
        <v>1.6431977606952741</v>
      </c>
      <c r="C381">
        <f t="shared" si="16"/>
        <v>-7.2338196148343761E-2</v>
      </c>
      <c r="D381">
        <f t="shared" si="17"/>
        <v>0.99738016091057469</v>
      </c>
    </row>
    <row r="382" spans="1:4" x14ac:dyDescent="0.3">
      <c r="A382">
        <v>382</v>
      </c>
      <c r="B382">
        <f t="shared" si="15"/>
        <v>1.6557893144170763</v>
      </c>
      <c r="C382">
        <f t="shared" si="16"/>
        <v>-8.4890695739474886E-2</v>
      </c>
      <c r="D382">
        <f t="shared" si="17"/>
        <v>0.9963902698124204</v>
      </c>
    </row>
    <row r="383" spans="1:4" x14ac:dyDescent="0.3">
      <c r="A383">
        <v>383</v>
      </c>
      <c r="B383">
        <f t="shared" si="15"/>
        <v>1.6683808681388794</v>
      </c>
      <c r="C383">
        <f t="shared" si="16"/>
        <v>-9.7429736324183544E-2</v>
      </c>
      <c r="D383">
        <f t="shared" si="17"/>
        <v>0.99524240588903767</v>
      </c>
    </row>
    <row r="384" spans="1:4" x14ac:dyDescent="0.3">
      <c r="A384">
        <v>384</v>
      </c>
      <c r="B384">
        <f t="shared" si="15"/>
        <v>1.6809724218606825</v>
      </c>
      <c r="C384">
        <f t="shared" si="16"/>
        <v>-0.10995332989864461</v>
      </c>
      <c r="D384">
        <f t="shared" si="17"/>
        <v>0.99393675112866198</v>
      </c>
    </row>
    <row r="385" spans="1:4" x14ac:dyDescent="0.3">
      <c r="A385">
        <v>385</v>
      </c>
      <c r="B385">
        <f t="shared" ref="B385:B448" si="18">-3.14159265358979+(A385-1)*0.0125915537218028</f>
        <v>1.6935639755824847</v>
      </c>
      <c r="C385">
        <f t="shared" ref="C385:C448" si="19">1*COS(B385)+0</f>
        <v>-0.12245949090808123</v>
      </c>
      <c r="D385">
        <f t="shared" ref="D385:D448" si="20">1*SIN(B385)+0+0*COS(B385)</f>
        <v>0.99247351253649763</v>
      </c>
    </row>
    <row r="386" spans="1:4" x14ac:dyDescent="0.3">
      <c r="A386">
        <v>386</v>
      </c>
      <c r="B386">
        <f t="shared" si="18"/>
        <v>1.7061555293042878</v>
      </c>
      <c r="C386">
        <f t="shared" si="19"/>
        <v>-0.13494623656156748</v>
      </c>
      <c r="D386">
        <f t="shared" si="20"/>
        <v>0.99085292210189779</v>
      </c>
    </row>
    <row r="387" spans="1:4" x14ac:dyDescent="0.3">
      <c r="A387">
        <v>387</v>
      </c>
      <c r="B387">
        <f t="shared" si="18"/>
        <v>1.7187470830260909</v>
      </c>
      <c r="C387">
        <f t="shared" si="19"/>
        <v>-0.14741158714638491</v>
      </c>
      <c r="D387">
        <f t="shared" si="20"/>
        <v>0.98907523676158415</v>
      </c>
    </row>
    <row r="388" spans="1:4" x14ac:dyDescent="0.3">
      <c r="A388">
        <v>388</v>
      </c>
      <c r="B388">
        <f t="shared" si="18"/>
        <v>1.731338636747894</v>
      </c>
      <c r="C388">
        <f t="shared" si="19"/>
        <v>-0.15985356634189996</v>
      </c>
      <c r="D388">
        <f t="shared" si="20"/>
        <v>0.98714073835891092</v>
      </c>
    </row>
    <row r="389" spans="1:4" x14ac:dyDescent="0.3">
      <c r="A389">
        <v>389</v>
      </c>
      <c r="B389">
        <f t="shared" si="18"/>
        <v>1.7439301904696962</v>
      </c>
      <c r="C389">
        <f t="shared" si="19"/>
        <v>-0.17227020153289807</v>
      </c>
      <c r="D389">
        <f t="shared" si="20"/>
        <v>0.98504973359917958</v>
      </c>
    </row>
    <row r="390" spans="1:4" x14ac:dyDescent="0.3">
      <c r="A390">
        <v>390</v>
      </c>
      <c r="B390">
        <f t="shared" si="18"/>
        <v>1.7565217441914993</v>
      </c>
      <c r="C390">
        <f t="shared" si="19"/>
        <v>-0.18465952412233588</v>
      </c>
      <c r="D390">
        <f t="shared" si="20"/>
        <v>0.98280255400101213</v>
      </c>
    </row>
    <row r="391" spans="1:4" x14ac:dyDescent="0.3">
      <c r="A391">
        <v>391</v>
      </c>
      <c r="B391">
        <f t="shared" si="18"/>
        <v>1.7691132979133024</v>
      </c>
      <c r="C391">
        <f t="shared" si="19"/>
        <v>-0.1970195698434474</v>
      </c>
      <c r="D391">
        <f t="shared" si="20"/>
        <v>0.98039955584379113</v>
      </c>
    </row>
    <row r="392" spans="1:4" x14ac:dyDescent="0.3">
      <c r="A392">
        <v>392</v>
      </c>
      <c r="B392">
        <f t="shared" si="18"/>
        <v>1.7817048516351046</v>
      </c>
      <c r="C392">
        <f t="shared" si="19"/>
        <v>-0.20934837907117143</v>
      </c>
      <c r="D392">
        <f t="shared" si="20"/>
        <v>0.97784112011117286</v>
      </c>
    </row>
    <row r="393" spans="1:4" x14ac:dyDescent="0.3">
      <c r="A393">
        <v>393</v>
      </c>
      <c r="B393">
        <f t="shared" si="18"/>
        <v>1.7942964053569077</v>
      </c>
      <c r="C393">
        <f t="shared" si="19"/>
        <v>-0.22164399713284344</v>
      </c>
      <c r="D393">
        <f t="shared" si="20"/>
        <v>0.97512765243068356</v>
      </c>
    </row>
    <row r="394" spans="1:4" x14ac:dyDescent="0.3">
      <c r="A394">
        <v>394</v>
      </c>
      <c r="B394">
        <f t="shared" si="18"/>
        <v>1.8068879590787108</v>
      </c>
      <c r="C394">
        <f t="shared" si="19"/>
        <v>-0.23390447461809394</v>
      </c>
      <c r="D394">
        <f t="shared" si="20"/>
        <v>0.97225958300941084</v>
      </c>
    </row>
    <row r="395" spans="1:4" x14ac:dyDescent="0.3">
      <c r="A395">
        <v>395</v>
      </c>
      <c r="B395">
        <f t="shared" si="18"/>
        <v>1.819479512800513</v>
      </c>
      <c r="C395">
        <f t="shared" si="19"/>
        <v>-0.24612786768792078</v>
      </c>
      <c r="D395">
        <f t="shared" si="20"/>
        <v>0.96923736656579507</v>
      </c>
    </row>
    <row r="396" spans="1:4" x14ac:dyDescent="0.3">
      <c r="A396">
        <v>396</v>
      </c>
      <c r="B396">
        <f t="shared" si="18"/>
        <v>1.8320710665223161</v>
      </c>
      <c r="C396">
        <f t="shared" si="19"/>
        <v>-0.25831223838287781</v>
      </c>
      <c r="D396">
        <f t="shared" si="20"/>
        <v>0.96606148225753585</v>
      </c>
    </row>
    <row r="397" spans="1:4" x14ac:dyDescent="0.3">
      <c r="A397">
        <v>397</v>
      </c>
      <c r="B397">
        <f t="shared" si="18"/>
        <v>1.8446626202441192</v>
      </c>
      <c r="C397">
        <f t="shared" si="19"/>
        <v>-0.27045565493032381</v>
      </c>
      <c r="D397">
        <f t="shared" si="20"/>
        <v>0.96273243360562522</v>
      </c>
    </row>
    <row r="398" spans="1:4" x14ac:dyDescent="0.3">
      <c r="A398">
        <v>398</v>
      </c>
      <c r="B398">
        <f t="shared" si="18"/>
        <v>1.8572541739659214</v>
      </c>
      <c r="C398">
        <f t="shared" si="19"/>
        <v>-0.28255619205069837</v>
      </c>
      <c r="D398">
        <f t="shared" si="20"/>
        <v>0.95925074841451585</v>
      </c>
    </row>
    <row r="399" spans="1:4" x14ac:dyDescent="0.3">
      <c r="A399">
        <v>399</v>
      </c>
      <c r="B399">
        <f t="shared" si="18"/>
        <v>1.8698457276877245</v>
      </c>
      <c r="C399">
        <f t="shared" si="19"/>
        <v>-0.29461193126276775</v>
      </c>
      <c r="D399">
        <f t="shared" si="20"/>
        <v>0.95561697868843987</v>
      </c>
    </row>
    <row r="400" spans="1:4" x14ac:dyDescent="0.3">
      <c r="A400">
        <v>400</v>
      </c>
      <c r="B400">
        <f t="shared" si="18"/>
        <v>1.8824372814095276</v>
      </c>
      <c r="C400">
        <f t="shared" si="19"/>
        <v>-0.30662096118778609</v>
      </c>
      <c r="D400">
        <f t="shared" si="20"/>
        <v>0.95183170054389243</v>
      </c>
    </row>
    <row r="401" spans="1:4" x14ac:dyDescent="0.3">
      <c r="A401">
        <v>401</v>
      </c>
      <c r="B401">
        <f t="shared" si="18"/>
        <v>1.8950288351313298</v>
      </c>
      <c r="C401">
        <f t="shared" si="19"/>
        <v>-0.31858137785253743</v>
      </c>
      <c r="D401">
        <f t="shared" si="20"/>
        <v>0.94789551411829076</v>
      </c>
    </row>
    <row r="402" spans="1:4" x14ac:dyDescent="0.3">
      <c r="A402">
        <v>402</v>
      </c>
      <c r="B402">
        <f t="shared" si="18"/>
        <v>1.9076203888531329</v>
      </c>
      <c r="C402">
        <f t="shared" si="19"/>
        <v>-0.330491284991204</v>
      </c>
      <c r="D402">
        <f t="shared" si="20"/>
        <v>0.94380904347482431</v>
      </c>
    </row>
    <row r="403" spans="1:4" x14ac:dyDescent="0.3">
      <c r="A403">
        <v>403</v>
      </c>
      <c r="B403">
        <f t="shared" si="18"/>
        <v>1.920211942574936</v>
      </c>
      <c r="C403">
        <f t="shared" si="19"/>
        <v>-0.34234879434600496</v>
      </c>
      <c r="D403">
        <f t="shared" si="20"/>
        <v>0.93957293650351426</v>
      </c>
    </row>
    <row r="404" spans="1:4" x14ac:dyDescent="0.3">
      <c r="A404">
        <v>404</v>
      </c>
      <c r="B404">
        <f t="shared" si="18"/>
        <v>1.9328034962967382</v>
      </c>
      <c r="C404">
        <f t="shared" si="19"/>
        <v>-0.35415202596657297</v>
      </c>
      <c r="D404">
        <f t="shared" si="20"/>
        <v>0.93518786481849292</v>
      </c>
    </row>
    <row r="405" spans="1:4" x14ac:dyDescent="0.3">
      <c r="A405">
        <v>405</v>
      </c>
      <c r="B405">
        <f t="shared" si="18"/>
        <v>1.9453950500185413</v>
      </c>
      <c r="C405">
        <f t="shared" si="19"/>
        <v>-0.3658991085080136</v>
      </c>
      <c r="D405">
        <f t="shared" si="20"/>
        <v>0.93065452365152179</v>
      </c>
    </row>
    <row r="406" spans="1:4" x14ac:dyDescent="0.3">
      <c r="A406">
        <v>406</v>
      </c>
      <c r="B406">
        <f t="shared" si="18"/>
        <v>1.9579866037403444</v>
      </c>
      <c r="C406">
        <f t="shared" si="19"/>
        <v>-0.37758817952759294</v>
      </c>
      <c r="D406">
        <f t="shared" si="20"/>
        <v>0.92597363174176739</v>
      </c>
    </row>
    <row r="407" spans="1:4" x14ac:dyDescent="0.3">
      <c r="A407">
        <v>407</v>
      </c>
      <c r="B407">
        <f t="shared" si="18"/>
        <v>1.9705781574621466</v>
      </c>
      <c r="C407">
        <f t="shared" si="19"/>
        <v>-0.38921738578002152</v>
      </c>
      <c r="D407">
        <f t="shared" si="20"/>
        <v>0.92114593122184818</v>
      </c>
    </row>
    <row r="408" spans="1:4" x14ac:dyDescent="0.3">
      <c r="A408">
        <v>408</v>
      </c>
      <c r="B408">
        <f t="shared" si="18"/>
        <v>1.9831697111839497</v>
      </c>
      <c r="C408">
        <f t="shared" si="19"/>
        <v>-0.40078488351127955</v>
      </c>
      <c r="D408">
        <f t="shared" si="20"/>
        <v>0.91617218750017182</v>
      </c>
    </row>
    <row r="409" spans="1:4" x14ac:dyDescent="0.3">
      <c r="A409">
        <v>409</v>
      </c>
      <c r="B409">
        <f t="shared" si="18"/>
        <v>1.9957612649057528</v>
      </c>
      <c r="C409">
        <f t="shared" si="19"/>
        <v>-0.41228883875093031</v>
      </c>
      <c r="D409">
        <f t="shared" si="20"/>
        <v>0.91105318913958555</v>
      </c>
    </row>
    <row r="410" spans="1:4" x14ac:dyDescent="0.3">
      <c r="A410">
        <v>410</v>
      </c>
      <c r="B410">
        <f t="shared" si="18"/>
        <v>2.008352818627555</v>
      </c>
      <c r="C410">
        <f t="shared" si="19"/>
        <v>-0.42372742760288978</v>
      </c>
      <c r="D410">
        <f t="shared" si="20"/>
        <v>0.90578974773235199</v>
      </c>
    </row>
    <row r="411" spans="1:4" x14ac:dyDescent="0.3">
      <c r="A411">
        <v>411</v>
      </c>
      <c r="B411">
        <f t="shared" si="18"/>
        <v>2.0209443723493581</v>
      </c>
      <c r="C411">
        <f t="shared" si="19"/>
        <v>-0.43509883653459874</v>
      </c>
      <c r="D411">
        <f t="shared" si="20"/>
        <v>0.90038269777147462</v>
      </c>
    </row>
    <row r="412" spans="1:4" x14ac:dyDescent="0.3">
      <c r="A412">
        <v>412</v>
      </c>
      <c r="B412">
        <f t="shared" si="18"/>
        <v>2.0335359260711612</v>
      </c>
      <c r="C412">
        <f t="shared" si="19"/>
        <v>-0.44640126266454477</v>
      </c>
      <c r="D412">
        <f t="shared" si="20"/>
        <v>0.8948328965183947</v>
      </c>
    </row>
    <row r="413" spans="1:4" x14ac:dyDescent="0.3">
      <c r="A413">
        <v>413</v>
      </c>
      <c r="B413">
        <f t="shared" si="18"/>
        <v>2.0461274797929634</v>
      </c>
      <c r="C413">
        <f t="shared" si="19"/>
        <v>-0.45763291404810286</v>
      </c>
      <c r="D413">
        <f t="shared" si="20"/>
        <v>0.88914122386707595</v>
      </c>
    </row>
    <row r="414" spans="1:4" x14ac:dyDescent="0.3">
      <c r="A414">
        <v>414</v>
      </c>
      <c r="B414">
        <f t="shared" si="18"/>
        <v>2.0587190335147665</v>
      </c>
      <c r="C414">
        <f t="shared" si="19"/>
        <v>-0.46879200996164166</v>
      </c>
      <c r="D414">
        <f t="shared" si="20"/>
        <v>0.88330858220450004</v>
      </c>
    </row>
    <row r="415" spans="1:4" x14ac:dyDescent="0.3">
      <c r="A415">
        <v>415</v>
      </c>
      <c r="B415">
        <f t="shared" si="18"/>
        <v>2.0713105872365696</v>
      </c>
      <c r="C415">
        <f t="shared" si="19"/>
        <v>-0.47987678118484395</v>
      </c>
      <c r="D415">
        <f t="shared" si="20"/>
        <v>0.87733589626760022</v>
      </c>
    </row>
    <row r="416" spans="1:4" x14ac:dyDescent="0.3">
      <c r="A416">
        <v>416</v>
      </c>
      <c r="B416">
        <f t="shared" si="18"/>
        <v>2.0839021409583718</v>
      </c>
      <c r="C416">
        <f t="shared" si="19"/>
        <v>-0.49088547028121021</v>
      </c>
      <c r="D416">
        <f t="shared" si="20"/>
        <v>0.87122411299664748</v>
      </c>
    </row>
    <row r="417" spans="1:4" x14ac:dyDescent="0.3">
      <c r="A417">
        <v>417</v>
      </c>
      <c r="B417">
        <f t="shared" si="18"/>
        <v>2.0964936946801749</v>
      </c>
      <c r="C417">
        <f t="shared" si="19"/>
        <v>-0.50181633187669406</v>
      </c>
      <c r="D417">
        <f t="shared" si="20"/>
        <v>0.86497420138511627</v>
      </c>
    </row>
    <row r="418" spans="1:4" x14ac:dyDescent="0.3">
      <c r="A418">
        <v>418</v>
      </c>
      <c r="B418">
        <f t="shared" si="18"/>
        <v>2.109085248401978</v>
      </c>
      <c r="C418">
        <f t="shared" si="19"/>
        <v>-0.51266763293641782</v>
      </c>
      <c r="D418">
        <f t="shared" si="20"/>
        <v>0.85858715232605853</v>
      </c>
    </row>
    <row r="419" spans="1:4" x14ac:dyDescent="0.3">
      <c r="A419">
        <v>419</v>
      </c>
      <c r="B419">
        <f t="shared" si="18"/>
        <v>2.1216768021237802</v>
      </c>
      <c r="C419">
        <f t="shared" si="19"/>
        <v>-0.52343765303943968</v>
      </c>
      <c r="D419">
        <f t="shared" si="20"/>
        <v>0.85206397845500026</v>
      </c>
    </row>
    <row r="420" spans="1:4" x14ac:dyDescent="0.3">
      <c r="A420">
        <v>420</v>
      </c>
      <c r="B420">
        <f t="shared" si="18"/>
        <v>2.1342683558455833</v>
      </c>
      <c r="C420">
        <f t="shared" si="19"/>
        <v>-0.53412468465151974</v>
      </c>
      <c r="D420">
        <f t="shared" si="20"/>
        <v>0.84540571398939246</v>
      </c>
    </row>
    <row r="421" spans="1:4" x14ac:dyDescent="0.3">
      <c r="A421">
        <v>421</v>
      </c>
      <c r="B421">
        <f t="shared" si="18"/>
        <v>2.1468599095673864</v>
      </c>
      <c r="C421">
        <f t="shared" si="19"/>
        <v>-0.54472703339583717</v>
      </c>
      <c r="D421">
        <f t="shared" si="20"/>
        <v>0.83861341456464344</v>
      </c>
    </row>
    <row r="422" spans="1:4" x14ac:dyDescent="0.3">
      <c r="A422">
        <v>422</v>
      </c>
      <c r="B422">
        <f t="shared" si="18"/>
        <v>2.1594514632891886</v>
      </c>
      <c r="C422">
        <f t="shared" si="19"/>
        <v>-0.55524301832162715</v>
      </c>
      <c r="D422">
        <f t="shared" si="20"/>
        <v>0.83168815706675137</v>
      </c>
    </row>
    <row r="423" spans="1:4" x14ac:dyDescent="0.3">
      <c r="A423">
        <v>423</v>
      </c>
      <c r="B423">
        <f t="shared" si="18"/>
        <v>2.1720430170109917</v>
      </c>
      <c r="C423">
        <f t="shared" si="19"/>
        <v>-0.56567097217069007</v>
      </c>
      <c r="D423">
        <f t="shared" si="20"/>
        <v>0.82463103946156813</v>
      </c>
    </row>
    <row r="424" spans="1:4" x14ac:dyDescent="0.3">
      <c r="A424">
        <v>424</v>
      </c>
      <c r="B424">
        <f t="shared" si="18"/>
        <v>2.1846345707327948</v>
      </c>
      <c r="C424">
        <f t="shared" si="19"/>
        <v>-0.57600924164172285</v>
      </c>
      <c r="D424">
        <f t="shared" si="20"/>
        <v>0.81744318062072507</v>
      </c>
    </row>
    <row r="425" spans="1:4" x14ac:dyDescent="0.3">
      <c r="A425">
        <v>425</v>
      </c>
      <c r="B425">
        <f t="shared" si="18"/>
        <v>2.197226124454597</v>
      </c>
      <c r="C425">
        <f t="shared" si="19"/>
        <v>-0.58625618765244358</v>
      </c>
      <c r="D425">
        <f t="shared" si="20"/>
        <v>0.81012572014423967</v>
      </c>
    </row>
    <row r="426" spans="1:4" x14ac:dyDescent="0.3">
      <c r="A426">
        <v>426</v>
      </c>
      <c r="B426">
        <f t="shared" si="18"/>
        <v>2.2098176781764001</v>
      </c>
      <c r="C426">
        <f t="shared" si="19"/>
        <v>-0.59641018559946257</v>
      </c>
      <c r="D426">
        <f t="shared" si="20"/>
        <v>0.80267981817983602</v>
      </c>
    </row>
    <row r="427" spans="1:4" x14ac:dyDescent="0.3">
      <c r="A427">
        <v>427</v>
      </c>
      <c r="B427">
        <f t="shared" si="18"/>
        <v>2.2224092318982032</v>
      </c>
      <c r="C427">
        <f t="shared" si="19"/>
        <v>-0.60646962561585072</v>
      </c>
      <c r="D427">
        <f t="shared" si="20"/>
        <v>0.79510665523901247</v>
      </c>
    </row>
    <row r="428" spans="1:4" x14ac:dyDescent="0.3">
      <c r="A428">
        <v>428</v>
      </c>
      <c r="B428">
        <f t="shared" si="18"/>
        <v>2.2350007856200054</v>
      </c>
      <c r="C428">
        <f t="shared" si="19"/>
        <v>-0.61643291282637847</v>
      </c>
      <c r="D428">
        <f t="shared" si="20"/>
        <v>0.7874074320098754</v>
      </c>
    </row>
    <row r="429" spans="1:4" x14ac:dyDescent="0.3">
      <c r="A429">
        <v>429</v>
      </c>
      <c r="B429">
        <f t="shared" si="18"/>
        <v>2.2475923393418085</v>
      </c>
      <c r="C429">
        <f t="shared" si="19"/>
        <v>-0.62629846760037755</v>
      </c>
      <c r="D429">
        <f t="shared" si="20"/>
        <v>0.77958336916677407</v>
      </c>
    </row>
    <row r="430" spans="1:4" x14ac:dyDescent="0.3">
      <c r="A430">
        <v>430</v>
      </c>
      <c r="B430">
        <f t="shared" si="18"/>
        <v>2.2601838930636116</v>
      </c>
      <c r="C430">
        <f t="shared" si="19"/>
        <v>-0.63606472580217954</v>
      </c>
      <c r="D430">
        <f t="shared" si="20"/>
        <v>0.77163570717677277</v>
      </c>
    </row>
    <row r="431" spans="1:4" x14ac:dyDescent="0.3">
      <c r="A431">
        <v>431</v>
      </c>
      <c r="B431">
        <f t="shared" si="18"/>
        <v>2.2727754467854138</v>
      </c>
      <c r="C431">
        <f t="shared" si="19"/>
        <v>-0.64573013903910359</v>
      </c>
      <c r="D431">
        <f t="shared" si="20"/>
        <v>0.76356570610297836</v>
      </c>
    </row>
    <row r="432" spans="1:4" x14ac:dyDescent="0.3">
      <c r="A432">
        <v>432</v>
      </c>
      <c r="B432">
        <f t="shared" si="18"/>
        <v>2.2853670005072169</v>
      </c>
      <c r="C432">
        <f t="shared" si="19"/>
        <v>-0.6552931749069496</v>
      </c>
      <c r="D432">
        <f t="shared" si="20"/>
        <v>0.75537464540476196</v>
      </c>
    </row>
    <row r="433" spans="1:4" x14ac:dyDescent="0.3">
      <c r="A433">
        <v>433</v>
      </c>
      <c r="B433">
        <f t="shared" si="18"/>
        <v>2.29795855422902</v>
      </c>
      <c r="C433">
        <f t="shared" si="19"/>
        <v>-0.66475231723294848</v>
      </c>
      <c r="D433">
        <f t="shared" si="20"/>
        <v>0.74706382373491054</v>
      </c>
    </row>
    <row r="434" spans="1:4" x14ac:dyDescent="0.3">
      <c r="A434">
        <v>434</v>
      </c>
      <c r="B434">
        <f t="shared" si="18"/>
        <v>2.3105501079508222</v>
      </c>
      <c r="C434">
        <f t="shared" si="19"/>
        <v>-0.67410606631614611</v>
      </c>
      <c r="D434">
        <f t="shared" si="20"/>
        <v>0.73863455873372974</v>
      </c>
    </row>
    <row r="435" spans="1:4" x14ac:dyDescent="0.3">
      <c r="A435">
        <v>435</v>
      </c>
      <c r="B435">
        <f t="shared" si="18"/>
        <v>2.3231416616726253</v>
      </c>
      <c r="C435">
        <f t="shared" si="19"/>
        <v>-0.68335293916517603</v>
      </c>
      <c r="D435">
        <f t="shared" si="20"/>
        <v>0.73008818682013699</v>
      </c>
    </row>
    <row r="436" spans="1:4" x14ac:dyDescent="0.3">
      <c r="A436">
        <v>436</v>
      </c>
      <c r="B436">
        <f t="shared" si="18"/>
        <v>2.3357332153944284</v>
      </c>
      <c r="C436">
        <f t="shared" si="19"/>
        <v>-0.69249146973337627</v>
      </c>
      <c r="D436">
        <f t="shared" si="20"/>
        <v>0.72142606297978207</v>
      </c>
    </row>
    <row r="437" spans="1:4" x14ac:dyDescent="0.3">
      <c r="A437">
        <v>437</v>
      </c>
      <c r="B437">
        <f t="shared" si="18"/>
        <v>2.3483247691162306</v>
      </c>
      <c r="C437">
        <f t="shared" si="19"/>
        <v>-0.7015202091512257</v>
      </c>
      <c r="D437">
        <f t="shared" si="20"/>
        <v>0.71264956055021922</v>
      </c>
    </row>
    <row r="438" spans="1:4" x14ac:dyDescent="0.3">
      <c r="A438">
        <v>438</v>
      </c>
      <c r="B438">
        <f t="shared" si="18"/>
        <v>2.3609163228380337</v>
      </c>
      <c r="C438">
        <f t="shared" si="19"/>
        <v>-0.7104377259560577</v>
      </c>
      <c r="D438">
        <f t="shared" si="20"/>
        <v>0.70376007100316906</v>
      </c>
    </row>
    <row r="439" spans="1:4" x14ac:dyDescent="0.3">
      <c r="A439">
        <v>439</v>
      </c>
      <c r="B439">
        <f t="shared" si="18"/>
        <v>2.3735078765598367</v>
      </c>
      <c r="C439">
        <f t="shared" si="19"/>
        <v>-0.71924260631900705</v>
      </c>
      <c r="D439">
        <f t="shared" si="20"/>
        <v>0.69475900372391142</v>
      </c>
    </row>
    <row r="440" spans="1:4" x14ac:dyDescent="0.3">
      <c r="A440">
        <v>440</v>
      </c>
      <c r="B440">
        <f t="shared" si="18"/>
        <v>2.386099430281639</v>
      </c>
      <c r="C440">
        <f t="shared" si="19"/>
        <v>-0.72793345426916811</v>
      </c>
      <c r="D440">
        <f t="shared" si="20"/>
        <v>0.68564778578783214</v>
      </c>
    </row>
    <row r="441" spans="1:4" x14ac:dyDescent="0.3">
      <c r="A441">
        <v>441</v>
      </c>
      <c r="B441">
        <f t="shared" si="18"/>
        <v>2.3986909840034421</v>
      </c>
      <c r="C441">
        <f t="shared" si="19"/>
        <v>-0.73650889191492097</v>
      </c>
      <c r="D441">
        <f t="shared" si="20"/>
        <v>0.67642786173416547</v>
      </c>
    </row>
    <row r="442" spans="1:4" x14ac:dyDescent="0.3">
      <c r="A442">
        <v>442</v>
      </c>
      <c r="B442">
        <f t="shared" si="18"/>
        <v>2.4112825377252451</v>
      </c>
      <c r="C442">
        <f t="shared" si="19"/>
        <v>-0.74496755966238526</v>
      </c>
      <c r="D442">
        <f t="shared" si="20"/>
        <v>0.6671006933369733</v>
      </c>
    </row>
    <row r="443" spans="1:4" x14ac:dyDescent="0.3">
      <c r="A443">
        <v>443</v>
      </c>
      <c r="B443">
        <f t="shared" si="18"/>
        <v>2.4238740914470474</v>
      </c>
      <c r="C443">
        <f t="shared" si="19"/>
        <v>-0.75330811643097972</v>
      </c>
      <c r="D443">
        <f t="shared" si="20"/>
        <v>0.65766775937338562</v>
      </c>
    </row>
    <row r="444" spans="1:4" x14ac:dyDescent="0.3">
      <c r="A444">
        <v>444</v>
      </c>
      <c r="B444">
        <f t="shared" si="18"/>
        <v>2.4364656451688504</v>
      </c>
      <c r="C444">
        <f t="shared" si="19"/>
        <v>-0.76152923986604526</v>
      </c>
      <c r="D444">
        <f t="shared" si="20"/>
        <v>0.64813055538914632</v>
      </c>
    </row>
    <row r="445" spans="1:4" x14ac:dyDescent="0.3">
      <c r="A445">
        <v>445</v>
      </c>
      <c r="B445">
        <f t="shared" si="18"/>
        <v>2.4490571988906535</v>
      </c>
      <c r="C445">
        <f t="shared" si="19"/>
        <v>-0.76962962654849454</v>
      </c>
      <c r="D445">
        <f t="shared" si="20"/>
        <v>0.63849059346150505</v>
      </c>
    </row>
    <row r="446" spans="1:4" x14ac:dyDescent="0.3">
      <c r="A446">
        <v>446</v>
      </c>
      <c r="B446">
        <f t="shared" si="18"/>
        <v>2.4616487526124557</v>
      </c>
      <c r="C446">
        <f t="shared" si="19"/>
        <v>-0.77760799220146415</v>
      </c>
      <c r="D446">
        <f t="shared" si="20"/>
        <v>0.62874940195948303</v>
      </c>
    </row>
    <row r="447" spans="1:4" x14ac:dyDescent="0.3">
      <c r="A447">
        <v>447</v>
      </c>
      <c r="B447">
        <f t="shared" si="18"/>
        <v>2.4742403063342588</v>
      </c>
      <c r="C447">
        <f t="shared" si="19"/>
        <v>-0.78546307189393294</v>
      </c>
      <c r="D447">
        <f t="shared" si="20"/>
        <v>0.61890852530155571</v>
      </c>
    </row>
    <row r="448" spans="1:4" x14ac:dyDescent="0.3">
      <c r="A448">
        <v>448</v>
      </c>
      <c r="B448">
        <f t="shared" si="18"/>
        <v>2.4868318600560619</v>
      </c>
      <c r="C448">
        <f t="shared" si="19"/>
        <v>-0.79319362024126616</v>
      </c>
      <c r="D448">
        <f t="shared" si="20"/>
        <v>0.60896952371079627</v>
      </c>
    </row>
    <row r="449" spans="1:4" x14ac:dyDescent="0.3">
      <c r="A449">
        <v>449</v>
      </c>
      <c r="B449">
        <f t="shared" ref="B449:B512" si="21">-3.14159265358979+(A449-1)*0.0125915537218028</f>
        <v>2.4994234137778641</v>
      </c>
      <c r="C449">
        <f t="shared" ref="C449:C512" si="22">1*COS(B449)+0</f>
        <v>-0.80079841160266774</v>
      </c>
      <c r="D449">
        <f t="shared" ref="D449:D500" si="23">1*SIN(B449)+0+0*COS(B449)</f>
        <v>0.59893397296750861</v>
      </c>
    </row>
    <row r="450" spans="1:4" x14ac:dyDescent="0.3">
      <c r="A450">
        <v>450</v>
      </c>
      <c r="B450">
        <f t="shared" si="21"/>
        <v>2.5120149674996672</v>
      </c>
      <c r="C450">
        <f t="shared" si="22"/>
        <v>-0.80827624027550105</v>
      </c>
      <c r="D450">
        <f t="shared" si="23"/>
        <v>0.588803464159392</v>
      </c>
    </row>
    <row r="451" spans="1:4" x14ac:dyDescent="0.3">
      <c r="A451">
        <v>451</v>
      </c>
      <c r="B451">
        <f t="shared" si="21"/>
        <v>2.5246065212214703</v>
      </c>
      <c r="C451">
        <f t="shared" si="22"/>
        <v>-0.81562592068644368</v>
      </c>
      <c r="D451">
        <f t="shared" si="23"/>
        <v>0.57857960342928716</v>
      </c>
    </row>
    <row r="452" spans="1:4" x14ac:dyDescent="0.3">
      <c r="A452">
        <v>452</v>
      </c>
      <c r="B452">
        <f t="shared" si="21"/>
        <v>2.5371980749432725</v>
      </c>
      <c r="C452">
        <f t="shared" si="22"/>
        <v>-0.82284628757945599</v>
      </c>
      <c r="D452">
        <f t="shared" si="23"/>
        <v>0.56826401172052687</v>
      </c>
    </row>
    <row r="453" spans="1:4" x14ac:dyDescent="0.3">
      <c r="A453">
        <v>453</v>
      </c>
      <c r="B453">
        <f t="shared" si="21"/>
        <v>2.5497896286650756</v>
      </c>
      <c r="C453">
        <f t="shared" si="22"/>
        <v>-0.82993619620052894</v>
      </c>
      <c r="D453">
        <f t="shared" si="23"/>
        <v>0.55785832451994222</v>
      </c>
    </row>
    <row r="454" spans="1:4" x14ac:dyDescent="0.3">
      <c r="A454">
        <v>454</v>
      </c>
      <c r="B454">
        <f t="shared" si="21"/>
        <v>2.5623811823868787</v>
      </c>
      <c r="C454">
        <f t="shared" si="22"/>
        <v>-0.83689452247917506</v>
      </c>
      <c r="D454">
        <f t="shared" si="23"/>
        <v>0.54736419159856775</v>
      </c>
    </row>
    <row r="455" spans="1:4" x14ac:dyDescent="0.3">
      <c r="A455">
        <v>455</v>
      </c>
      <c r="B455">
        <f t="shared" si="21"/>
        <v>2.5749727361086809</v>
      </c>
      <c r="C455">
        <f t="shared" si="22"/>
        <v>-0.843720163206647</v>
      </c>
      <c r="D455">
        <f t="shared" si="23"/>
        <v>0.5367832767500762</v>
      </c>
    </row>
    <row r="456" spans="1:4" x14ac:dyDescent="0.3">
      <c r="A456">
        <v>456</v>
      </c>
      <c r="B456">
        <f t="shared" si="21"/>
        <v>2.587564289830484</v>
      </c>
      <c r="C456">
        <f t="shared" si="22"/>
        <v>-0.85041203621084671</v>
      </c>
      <c r="D456">
        <f t="shared" si="23"/>
        <v>0.52611725752699035</v>
      </c>
    </row>
    <row r="457" spans="1:4" x14ac:dyDescent="0.3">
      <c r="A457">
        <v>457</v>
      </c>
      <c r="B457">
        <f t="shared" si="21"/>
        <v>2.6001558435522871</v>
      </c>
      <c r="C457">
        <f t="shared" si="22"/>
        <v>-0.85696908052789589</v>
      </c>
      <c r="D457">
        <f t="shared" si="23"/>
        <v>0.51536782497471911</v>
      </c>
    </row>
    <row r="458" spans="1:4" x14ac:dyDescent="0.3">
      <c r="A458">
        <v>458</v>
      </c>
      <c r="B458">
        <f t="shared" si="21"/>
        <v>2.6127473972740893</v>
      </c>
      <c r="C458">
        <f t="shared" si="22"/>
        <v>-0.86339025657034785</v>
      </c>
      <c r="D458">
        <f t="shared" si="23"/>
        <v>0.50453668336344881</v>
      </c>
    </row>
    <row r="459" spans="1:4" x14ac:dyDescent="0.3">
      <c r="A459">
        <v>459</v>
      </c>
      <c r="B459">
        <f t="shared" si="21"/>
        <v>2.6253389509958924</v>
      </c>
      <c r="C459">
        <f t="shared" si="22"/>
        <v>-0.8696745462920108</v>
      </c>
      <c r="D459">
        <f t="shared" si="23"/>
        <v>0.4936255499179365</v>
      </c>
    </row>
    <row r="460" spans="1:4" x14ac:dyDescent="0.3">
      <c r="A460">
        <v>460</v>
      </c>
      <c r="B460">
        <f t="shared" si="21"/>
        <v>2.6379305047176955</v>
      </c>
      <c r="C460">
        <f t="shared" si="22"/>
        <v>-0.87582095334935095</v>
      </c>
      <c r="D460">
        <f t="shared" si="23"/>
        <v>0.48263615454525777</v>
      </c>
    </row>
    <row r="461" spans="1:4" x14ac:dyDescent="0.3">
      <c r="A461">
        <v>461</v>
      </c>
      <c r="B461">
        <f t="shared" si="21"/>
        <v>2.6505220584394977</v>
      </c>
      <c r="C461">
        <f t="shared" si="22"/>
        <v>-0.88182850325945983</v>
      </c>
      <c r="D461">
        <f t="shared" si="23"/>
        <v>0.47157023956053545</v>
      </c>
    </row>
    <row r="462" spans="1:4" x14ac:dyDescent="0.3">
      <c r="A462">
        <v>462</v>
      </c>
      <c r="B462">
        <f t="shared" si="21"/>
        <v>2.6631136121613008</v>
      </c>
      <c r="C462">
        <f t="shared" si="22"/>
        <v>-0.88769624355455456</v>
      </c>
      <c r="D462">
        <f t="shared" si="23"/>
        <v>0.46042955941070179</v>
      </c>
    </row>
    <row r="463" spans="1:4" x14ac:dyDescent="0.3">
      <c r="A463">
        <v>463</v>
      </c>
      <c r="B463">
        <f t="shared" si="21"/>
        <v>2.6757051658831039</v>
      </c>
      <c r="C463">
        <f t="shared" si="22"/>
        <v>-0.89342324393298445</v>
      </c>
      <c r="D463">
        <f t="shared" si="23"/>
        <v>0.44921588039634452</v>
      </c>
    </row>
    <row r="464" spans="1:4" x14ac:dyDescent="0.3">
      <c r="A464">
        <v>464</v>
      </c>
      <c r="B464">
        <f t="shared" si="21"/>
        <v>2.6882967196049061</v>
      </c>
      <c r="C464">
        <f t="shared" si="22"/>
        <v>-0.8990085964067277</v>
      </c>
      <c r="D464">
        <f t="shared" si="23"/>
        <v>0.43793098039166556</v>
      </c>
    </row>
    <row r="465" spans="1:4" x14ac:dyDescent="0.3">
      <c r="A465">
        <v>465</v>
      </c>
      <c r="B465">
        <f t="shared" si="21"/>
        <v>2.7008882733267092</v>
      </c>
      <c r="C465">
        <f t="shared" si="22"/>
        <v>-0.90445141544534879</v>
      </c>
      <c r="D465">
        <f t="shared" si="23"/>
        <v>0.42657664856260591</v>
      </c>
    </row>
    <row r="466" spans="1:4" x14ac:dyDescent="0.3">
      <c r="A466">
        <v>466</v>
      </c>
      <c r="B466">
        <f t="shared" si="21"/>
        <v>2.7134798270485123</v>
      </c>
      <c r="C466">
        <f t="shared" si="22"/>
        <v>-0.90975083811639346</v>
      </c>
      <c r="D466">
        <f t="shared" si="23"/>
        <v>0.41515468508318643</v>
      </c>
    </row>
    <row r="467" spans="1:4" x14ac:dyDescent="0.3">
      <c r="A467">
        <v>467</v>
      </c>
      <c r="B467">
        <f t="shared" si="21"/>
        <v>2.7260713807703145</v>
      </c>
      <c r="C467">
        <f t="shared" si="22"/>
        <v>-0.91490602422220291</v>
      </c>
      <c r="D467">
        <f t="shared" si="23"/>
        <v>0.40366690085009682</v>
      </c>
    </row>
    <row r="468" spans="1:4" x14ac:dyDescent="0.3">
      <c r="A468">
        <v>468</v>
      </c>
      <c r="B468">
        <f t="shared" si="21"/>
        <v>2.7386629344921176</v>
      </c>
      <c r="C468">
        <f t="shared" si="22"/>
        <v>-0.91991615643312463</v>
      </c>
      <c r="D468">
        <f t="shared" si="23"/>
        <v>0.39211511719558451</v>
      </c>
    </row>
    <row r="469" spans="1:4" x14ac:dyDescent="0.3">
      <c r="A469">
        <v>469</v>
      </c>
      <c r="B469">
        <f t="shared" si="21"/>
        <v>2.7512544882139207</v>
      </c>
      <c r="C469">
        <f t="shared" si="22"/>
        <v>-0.92478044041709373</v>
      </c>
      <c r="D469">
        <f t="shared" si="23"/>
        <v>0.38050116559869573</v>
      </c>
    </row>
    <row r="470" spans="1:4" x14ac:dyDescent="0.3">
      <c r="A470">
        <v>470</v>
      </c>
      <c r="B470">
        <f t="shared" si="21"/>
        <v>2.7638460419357229</v>
      </c>
      <c r="C470">
        <f t="shared" si="22"/>
        <v>-0.92949810496557161</v>
      </c>
      <c r="D470">
        <f t="shared" si="23"/>
        <v>0.36882688739490138</v>
      </c>
    </row>
    <row r="471" spans="1:4" x14ac:dyDescent="0.3">
      <c r="A471">
        <v>471</v>
      </c>
      <c r="B471">
        <f t="shared" si="21"/>
        <v>2.776437595657526</v>
      </c>
      <c r="C471">
        <f t="shared" si="22"/>
        <v>-0.93406840211581788</v>
      </c>
      <c r="D471">
        <f t="shared" si="23"/>
        <v>0.35709413348415964</v>
      </c>
    </row>
    <row r="472" spans="1:4" x14ac:dyDescent="0.3">
      <c r="A472">
        <v>472</v>
      </c>
      <c r="B472">
        <f t="shared" si="21"/>
        <v>2.7890291493793291</v>
      </c>
      <c r="C472">
        <f t="shared" si="22"/>
        <v>-0.93849060726947464</v>
      </c>
      <c r="D472">
        <f t="shared" si="23"/>
        <v>0.34530476403746974</v>
      </c>
    </row>
    <row r="473" spans="1:4" x14ac:dyDescent="0.3">
      <c r="A473">
        <v>473</v>
      </c>
      <c r="B473">
        <f t="shared" si="21"/>
        <v>2.8016207031011313</v>
      </c>
      <c r="C473">
        <f t="shared" si="22"/>
        <v>-0.94276401930744913</v>
      </c>
      <c r="D473">
        <f t="shared" si="23"/>
        <v>0.33346064820194843</v>
      </c>
    </row>
    <row r="474" spans="1:4" x14ac:dyDescent="0.3">
      <c r="A474">
        <v>474</v>
      </c>
      <c r="B474">
        <f t="shared" si="21"/>
        <v>2.8142122568229344</v>
      </c>
      <c r="C474">
        <f t="shared" si="22"/>
        <v>-0.94688796070107328</v>
      </c>
      <c r="D474">
        <f t="shared" si="23"/>
        <v>0.32156366380448331</v>
      </c>
    </row>
    <row r="475" spans="1:4" x14ac:dyDescent="0.3">
      <c r="A475">
        <v>475</v>
      </c>
      <c r="B475">
        <f t="shared" si="21"/>
        <v>2.8268038105447375</v>
      </c>
      <c r="C475">
        <f t="shared" si="22"/>
        <v>-0.95086177761952073</v>
      </c>
      <c r="D475">
        <f t="shared" si="23"/>
        <v>0.30961569705401759</v>
      </c>
    </row>
    <row r="476" spans="1:4" x14ac:dyDescent="0.3">
      <c r="A476">
        <v>476</v>
      </c>
      <c r="B476">
        <f t="shared" si="21"/>
        <v>2.8393953642665397</v>
      </c>
      <c r="C476">
        <f t="shared" si="22"/>
        <v>-0.95468484003346987</v>
      </c>
      <c r="D476">
        <f t="shared" si="23"/>
        <v>0.29761864224249818</v>
      </c>
    </row>
    <row r="477" spans="1:4" x14ac:dyDescent="0.3">
      <c r="A477">
        <v>477</v>
      </c>
      <c r="B477">
        <f t="shared" si="21"/>
        <v>2.8519869179883428</v>
      </c>
      <c r="C477">
        <f t="shared" si="22"/>
        <v>-0.95835654181499241</v>
      </c>
      <c r="D477">
        <f t="shared" si="23"/>
        <v>0.28557440144454255</v>
      </c>
    </row>
    <row r="478" spans="1:4" x14ac:dyDescent="0.3">
      <c r="A478">
        <v>478</v>
      </c>
      <c r="B478">
        <f t="shared" si="21"/>
        <v>2.8645784717101459</v>
      </c>
      <c r="C478">
        <f t="shared" si="22"/>
        <v>-0.96187630083365039</v>
      </c>
      <c r="D478">
        <f t="shared" si="23"/>
        <v>0.27348488421587913</v>
      </c>
    </row>
    <row r="479" spans="1:4" x14ac:dyDescent="0.3">
      <c r="A479">
        <v>479</v>
      </c>
      <c r="B479">
        <f t="shared" si="21"/>
        <v>2.8771700254319481</v>
      </c>
      <c r="C479">
        <f t="shared" si="22"/>
        <v>-0.96524355904879122</v>
      </c>
      <c r="D479">
        <f t="shared" si="23"/>
        <v>0.26135200729059388</v>
      </c>
    </row>
    <row r="480" spans="1:4" x14ac:dyDescent="0.3">
      <c r="A480">
        <v>480</v>
      </c>
      <c r="B480">
        <f t="shared" si="21"/>
        <v>2.8897615791537512</v>
      </c>
      <c r="C480">
        <f t="shared" si="22"/>
        <v>-0.96845778259802262</v>
      </c>
      <c r="D480">
        <f t="shared" si="23"/>
        <v>0.24917769427723904</v>
      </c>
    </row>
    <row r="481" spans="1:4" x14ac:dyDescent="0.3">
      <c r="A481">
        <v>481</v>
      </c>
      <c r="B481">
        <f t="shared" si="21"/>
        <v>2.9023531328755543</v>
      </c>
      <c r="C481">
        <f t="shared" si="22"/>
        <v>-0.97151846188185254</v>
      </c>
      <c r="D481">
        <f t="shared" si="23"/>
        <v>0.23696387535385935</v>
      </c>
    </row>
    <row r="482" spans="1:4" x14ac:dyDescent="0.3">
      <c r="A482">
        <v>482</v>
      </c>
      <c r="B482">
        <f t="shared" si="21"/>
        <v>2.9149446865973565</v>
      </c>
      <c r="C482">
        <f t="shared" si="22"/>
        <v>-0.97442511164448486</v>
      </c>
      <c r="D482">
        <f t="shared" si="23"/>
        <v>0.22471248696196916</v>
      </c>
    </row>
    <row r="483" spans="1:4" x14ac:dyDescent="0.3">
      <c r="A483">
        <v>483</v>
      </c>
      <c r="B483">
        <f t="shared" si="21"/>
        <v>2.9275362403191596</v>
      </c>
      <c r="C483">
        <f t="shared" si="22"/>
        <v>-0.97717727105075436</v>
      </c>
      <c r="D483">
        <f t="shared" si="23"/>
        <v>0.21242547149953661</v>
      </c>
    </row>
    <row r="484" spans="1:4" x14ac:dyDescent="0.3">
      <c r="A484">
        <v>484</v>
      </c>
      <c r="B484">
        <f t="shared" si="21"/>
        <v>2.9401277940409627</v>
      </c>
      <c r="C484">
        <f t="shared" si="22"/>
        <v>-0.97977450375918906</v>
      </c>
      <c r="D484">
        <f t="shared" si="23"/>
        <v>0.20010477701303092</v>
      </c>
    </row>
    <row r="485" spans="1:4" x14ac:dyDescent="0.3">
      <c r="A485">
        <v>485</v>
      </c>
      <c r="B485">
        <f t="shared" si="21"/>
        <v>2.9527193477627649</v>
      </c>
      <c r="C485">
        <f t="shared" si="22"/>
        <v>-0.98221639799119032</v>
      </c>
      <c r="D485">
        <f t="shared" si="23"/>
        <v>0.18775235688856662</v>
      </c>
    </row>
    <row r="486" spans="1:4" x14ac:dyDescent="0.3">
      <c r="A486">
        <v>486</v>
      </c>
      <c r="B486">
        <f t="shared" si="21"/>
        <v>2.965310901484568</v>
      </c>
      <c r="C486">
        <f t="shared" si="22"/>
        <v>-0.98450256659631907</v>
      </c>
      <c r="D486">
        <f t="shared" si="23"/>
        <v>0.17537016954220097</v>
      </c>
    </row>
    <row r="487" spans="1:4" x14ac:dyDescent="0.3">
      <c r="A487">
        <v>487</v>
      </c>
      <c r="B487">
        <f t="shared" si="21"/>
        <v>2.9779024552063711</v>
      </c>
      <c r="C487">
        <f t="shared" si="22"/>
        <v>-0.98663264711367571</v>
      </c>
      <c r="D487">
        <f t="shared" si="23"/>
        <v>0.16296017810944194</v>
      </c>
    </row>
    <row r="488" spans="1:4" x14ac:dyDescent="0.3">
      <c r="A488">
        <v>488</v>
      </c>
      <c r="B488">
        <f t="shared" si="21"/>
        <v>2.9904940089281733</v>
      </c>
      <c r="C488">
        <f t="shared" si="22"/>
        <v>-0.98860630182936671</v>
      </c>
      <c r="D488">
        <f t="shared" si="23"/>
        <v>0.15052435013400009</v>
      </c>
    </row>
    <row r="489" spans="1:4" x14ac:dyDescent="0.3">
      <c r="A489">
        <v>489</v>
      </c>
      <c r="B489">
        <f t="shared" si="21"/>
        <v>3.0030855626499764</v>
      </c>
      <c r="C489">
        <f t="shared" si="22"/>
        <v>-0.99042321783004816</v>
      </c>
      <c r="D489">
        <f t="shared" si="23"/>
        <v>0.13806465725584124</v>
      </c>
    </row>
    <row r="490" spans="1:4" x14ac:dyDescent="0.3">
      <c r="A490">
        <v>490</v>
      </c>
      <c r="B490">
        <f t="shared" si="21"/>
        <v>3.0156771163717795</v>
      </c>
      <c r="C490">
        <f t="shared" si="22"/>
        <v>-0.99208310705253577</v>
      </c>
      <c r="D490">
        <f t="shared" si="23"/>
        <v>0.12558307489859807</v>
      </c>
    </row>
    <row r="491" spans="1:4" x14ac:dyDescent="0.3">
      <c r="A491">
        <v>491</v>
      </c>
      <c r="B491">
        <f t="shared" si="21"/>
        <v>3.0282686700935817</v>
      </c>
      <c r="C491">
        <f t="shared" si="22"/>
        <v>-0.99358570632947618</v>
      </c>
      <c r="D491">
        <f t="shared" si="23"/>
        <v>0.11308158195637352</v>
      </c>
    </row>
    <row r="492" spans="1:4" x14ac:dyDescent="0.3">
      <c r="A492">
        <v>492</v>
      </c>
      <c r="B492">
        <f t="shared" si="21"/>
        <v>3.0408602238153848</v>
      </c>
      <c r="C492">
        <f t="shared" si="22"/>
        <v>-0.99493077743107128</v>
      </c>
      <c r="D492">
        <f t="shared" si="23"/>
        <v>0.10056216047999419</v>
      </c>
    </row>
    <row r="493" spans="1:4" x14ac:dyDescent="0.3">
      <c r="A493">
        <v>493</v>
      </c>
      <c r="B493">
        <f t="shared" si="21"/>
        <v>3.0534517775371879</v>
      </c>
      <c r="C493">
        <f t="shared" si="22"/>
        <v>-0.99611810710284798</v>
      </c>
      <c r="D493">
        <f t="shared" si="23"/>
        <v>8.8026795362771124E-2</v>
      </c>
    </row>
    <row r="494" spans="1:4" x14ac:dyDescent="0.3">
      <c r="A494">
        <v>494</v>
      </c>
      <c r="B494">
        <f t="shared" si="21"/>
        <v>3.0660433312589901</v>
      </c>
      <c r="C494">
        <f t="shared" si="22"/>
        <v>-0.99714750709946842</v>
      </c>
      <c r="D494">
        <f t="shared" si="23"/>
        <v>7.5477474025801961E-2</v>
      </c>
    </row>
    <row r="495" spans="1:4" x14ac:dyDescent="0.3">
      <c r="A495">
        <v>495</v>
      </c>
      <c r="B495">
        <f t="shared" si="21"/>
        <v>3.0786348849807932</v>
      </c>
      <c r="C495">
        <f t="shared" si="22"/>
        <v>-0.99801881421457617</v>
      </c>
      <c r="D495">
        <f t="shared" si="23"/>
        <v>6.2916186102872362E-2</v>
      </c>
    </row>
    <row r="496" spans="1:4" x14ac:dyDescent="0.3">
      <c r="A496">
        <v>496</v>
      </c>
      <c r="B496">
        <f t="shared" si="21"/>
        <v>3.0912264387025963</v>
      </c>
      <c r="C496">
        <f t="shared" si="22"/>
        <v>-0.99873189030667098</v>
      </c>
      <c r="D496">
        <f t="shared" si="23"/>
        <v>5.0344923125014603E-2</v>
      </c>
    </row>
    <row r="497" spans="1:4" x14ac:dyDescent="0.3">
      <c r="A497">
        <v>497</v>
      </c>
      <c r="B497">
        <f t="shared" si="21"/>
        <v>3.1038179924243985</v>
      </c>
      <c r="C497">
        <f t="shared" si="22"/>
        <v>-0.99928662232101095</v>
      </c>
      <c r="D497">
        <f t="shared" si="23"/>
        <v>3.7765678204757333E-2</v>
      </c>
    </row>
    <row r="498" spans="1:4" x14ac:dyDescent="0.3">
      <c r="A498">
        <v>498</v>
      </c>
      <c r="B498">
        <f t="shared" si="21"/>
        <v>3.1164095461462016</v>
      </c>
      <c r="C498">
        <f t="shared" si="22"/>
        <v>-0.99968292230753641</v>
      </c>
      <c r="D498">
        <f t="shared" si="23"/>
        <v>2.5180445720124629E-2</v>
      </c>
    </row>
    <row r="499" spans="1:4" x14ac:dyDescent="0.3">
      <c r="A499">
        <v>499</v>
      </c>
      <c r="B499">
        <f t="shared" si="21"/>
        <v>3.1290010998680047</v>
      </c>
      <c r="C499">
        <f t="shared" si="22"/>
        <v>-0.99992072743481442</v>
      </c>
      <c r="D499">
        <f t="shared" si="23"/>
        <v>1.2591220998442417E-2</v>
      </c>
    </row>
    <row r="500" spans="1:4" x14ac:dyDescent="0.3">
      <c r="A500">
        <v>500</v>
      </c>
      <c r="B500">
        <f t="shared" si="21"/>
        <v>3.1415926535898069</v>
      </c>
      <c r="C500">
        <f t="shared" si="22"/>
        <v>-1</v>
      </c>
      <c r="D500">
        <f t="shared" si="23"/>
        <v>-1.3644250659861079E-14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EF615-EE80-411F-B3F2-1E790CDCF106}">
  <sheetPr codeName="XLSTAT_20240405_134419_1_HID"/>
  <dimension ref="A1:B23"/>
  <sheetViews>
    <sheetView workbookViewId="0"/>
  </sheetViews>
  <sheetFormatPr defaultRowHeight="14.4" x14ac:dyDescent="0.3"/>
  <sheetData>
    <row r="1" spans="1:2" x14ac:dyDescent="0.3">
      <c r="A1">
        <v>0.41794227727735772</v>
      </c>
      <c r="B1">
        <v>0.75382505992550419</v>
      </c>
    </row>
    <row r="2" spans="1:2" x14ac:dyDescent="0.3">
      <c r="A2">
        <v>0.85610992865587998</v>
      </c>
      <c r="B2">
        <v>0.31130556261322573</v>
      </c>
    </row>
    <row r="3" spans="1:2" x14ac:dyDescent="0.3">
      <c r="A3">
        <v>4.1939007219503478E-2</v>
      </c>
      <c r="B3">
        <v>0.87899656152161931</v>
      </c>
    </row>
    <row r="4" spans="1:2" x14ac:dyDescent="0.3">
      <c r="A4">
        <v>0.47711483353825562</v>
      </c>
      <c r="B4">
        <v>-0.40012584843507676</v>
      </c>
    </row>
    <row r="5" spans="1:2" x14ac:dyDescent="0.3">
      <c r="A5">
        <v>0.35156506243491709</v>
      </c>
      <c r="B5">
        <v>-0.35760827166250414</v>
      </c>
    </row>
    <row r="6" spans="1:2" x14ac:dyDescent="0.3">
      <c r="A6">
        <v>-0.14498668600355008</v>
      </c>
      <c r="B6">
        <v>-0.25805761437437141</v>
      </c>
    </row>
    <row r="7" spans="1:2" x14ac:dyDescent="0.3">
      <c r="A7">
        <v>0.24121413701513958</v>
      </c>
      <c r="B7">
        <v>0.73247767334733149</v>
      </c>
    </row>
    <row r="8" spans="1:2" x14ac:dyDescent="0.3">
      <c r="A8">
        <v>0.82923333874454219</v>
      </c>
      <c r="B8">
        <v>-0.27179582886309084</v>
      </c>
    </row>
    <row r="9" spans="1:2" x14ac:dyDescent="0.3">
      <c r="A9">
        <v>0.90772947086542932</v>
      </c>
      <c r="B9">
        <v>3.5591883242630962E-4</v>
      </c>
    </row>
    <row r="10" spans="1:2" x14ac:dyDescent="0.3">
      <c r="A10">
        <v>0.48897940335697876</v>
      </c>
      <c r="B10">
        <v>-0.44184694736854024</v>
      </c>
    </row>
    <row r="11" spans="1:2" x14ac:dyDescent="0.3">
      <c r="A11">
        <v>-0.19367979578291944</v>
      </c>
      <c r="B11">
        <v>0.57340083440991085</v>
      </c>
    </row>
    <row r="12" spans="1:2" x14ac:dyDescent="0.3">
      <c r="A12">
        <v>0.67601671246720496</v>
      </c>
      <c r="B12">
        <v>1.9247953122821692E-2</v>
      </c>
    </row>
    <row r="13" spans="1:2" x14ac:dyDescent="0.3">
      <c r="A13">
        <v>0.5004146723352233</v>
      </c>
      <c r="B13">
        <v>-0.35954664406483028</v>
      </c>
    </row>
    <row r="14" spans="1:2" x14ac:dyDescent="0.3">
      <c r="A14">
        <v>0.89779281385889764</v>
      </c>
      <c r="B14">
        <v>-0.19072224591093256</v>
      </c>
    </row>
    <row r="15" spans="1:2" x14ac:dyDescent="0.3">
      <c r="A15">
        <v>0.78521043889832609</v>
      </c>
      <c r="B15">
        <v>-0.4351518814426597</v>
      </c>
    </row>
    <row r="16" spans="1:2" x14ac:dyDescent="0.3">
      <c r="A16">
        <v>0.84034074593847297</v>
      </c>
      <c r="B16">
        <v>0.28185440694312908</v>
      </c>
    </row>
    <row r="17" spans="1:2" x14ac:dyDescent="0.3">
      <c r="A17">
        <v>0.35717984603935238</v>
      </c>
      <c r="B17">
        <v>-0.34698368302898347</v>
      </c>
    </row>
    <row r="18" spans="1:2" x14ac:dyDescent="0.3">
      <c r="A18">
        <v>0.45515603328114757</v>
      </c>
      <c r="B18">
        <v>0.3395781441002001</v>
      </c>
    </row>
    <row r="19" spans="1:2" x14ac:dyDescent="0.3">
      <c r="A19">
        <v>0.91555323395384047</v>
      </c>
      <c r="B19">
        <v>-0.2464169402799477</v>
      </c>
    </row>
    <row r="20" spans="1:2" x14ac:dyDescent="0.3">
      <c r="A20">
        <v>5.1438772833336342E-3</v>
      </c>
      <c r="B20">
        <v>-2.5646839781633922E-2</v>
      </c>
    </row>
    <row r="21" spans="1:2" x14ac:dyDescent="0.3">
      <c r="A21">
        <v>0.88332693583455169</v>
      </c>
      <c r="B21">
        <v>0.21349721420177853</v>
      </c>
    </row>
    <row r="22" spans="1:2" x14ac:dyDescent="0.3">
      <c r="A22">
        <v>0.82127286425778911</v>
      </c>
      <c r="B22">
        <v>0.27748141359458389</v>
      </c>
    </row>
    <row r="23" spans="1:2" x14ac:dyDescent="0.3">
      <c r="A23">
        <v>0.84805749550477638</v>
      </c>
      <c r="B23">
        <v>0.30408040090050081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EB6E5-395C-48EF-BD57-4B4A3293782A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DC31F-533F-40C1-8E0D-34FED6F93A38}">
  <sheetPr codeName="XLSTAT_20240328_054226_1">
    <tabColor rgb="FF007800"/>
  </sheetPr>
  <dimension ref="B1:Y645"/>
  <sheetViews>
    <sheetView zoomScaleNormal="100" workbookViewId="0">
      <selection activeCell="R192" sqref="R192"/>
    </sheetView>
  </sheetViews>
  <sheetFormatPr defaultRowHeight="14.4" x14ac:dyDescent="0.3"/>
  <cols>
    <col min="1" max="1" width="4.77734375" customWidth="1"/>
  </cols>
  <sheetData>
    <row r="1" spans="2:13" x14ac:dyDescent="0.3">
      <c r="B1" s="29" t="s">
        <v>325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2"/>
    </row>
    <row r="2" spans="2:13" x14ac:dyDescent="0.3"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2"/>
    </row>
    <row r="3" spans="2:13" x14ac:dyDescent="0.3">
      <c r="B3" t="s">
        <v>385</v>
      </c>
    </row>
    <row r="4" spans="2:13" x14ac:dyDescent="0.3">
      <c r="B4" t="s">
        <v>326</v>
      </c>
    </row>
    <row r="5" spans="2:13" x14ac:dyDescent="0.3">
      <c r="B5" t="s">
        <v>327</v>
      </c>
    </row>
    <row r="6" spans="2:13" x14ac:dyDescent="0.3">
      <c r="B6" t="s">
        <v>328</v>
      </c>
    </row>
    <row r="7" spans="2:13" x14ac:dyDescent="0.3">
      <c r="B7" t="s">
        <v>329</v>
      </c>
    </row>
    <row r="8" spans="2:13" x14ac:dyDescent="0.3">
      <c r="B8" t="s">
        <v>330</v>
      </c>
    </row>
    <row r="9" spans="2:13" x14ac:dyDescent="0.3">
      <c r="B9" t="s">
        <v>331</v>
      </c>
    </row>
    <row r="10" spans="2:13" ht="37.950000000000003" customHeight="1" x14ac:dyDescent="0.3"/>
    <row r="11" spans="2:13" ht="16.2" customHeight="1" x14ac:dyDescent="0.3">
      <c r="B11" s="28"/>
    </row>
    <row r="14" spans="2:13" x14ac:dyDescent="0.3">
      <c r="B14" t="s">
        <v>332</v>
      </c>
    </row>
    <row r="15" spans="2:13" ht="15" thickBot="1" x14ac:dyDescent="0.35"/>
    <row r="16" spans="2:13" ht="28.8" customHeight="1" x14ac:dyDescent="0.3">
      <c r="B16" s="6" t="s">
        <v>333</v>
      </c>
      <c r="C16" s="7" t="s">
        <v>334</v>
      </c>
      <c r="D16" s="7" t="s">
        <v>335</v>
      </c>
      <c r="E16" s="7" t="s">
        <v>336</v>
      </c>
      <c r="F16" s="7" t="s">
        <v>337</v>
      </c>
      <c r="G16" s="7" t="s">
        <v>338</v>
      </c>
      <c r="H16" s="7" t="s">
        <v>339</v>
      </c>
      <c r="I16" s="7" t="s">
        <v>340</v>
      </c>
    </row>
    <row r="17" spans="2:9" x14ac:dyDescent="0.3">
      <c r="B17" s="8" t="s">
        <v>4</v>
      </c>
      <c r="C17" s="10">
        <v>99</v>
      </c>
      <c r="D17" s="10">
        <v>0</v>
      </c>
      <c r="E17" s="10">
        <v>99</v>
      </c>
      <c r="F17" s="13">
        <v>34</v>
      </c>
      <c r="G17" s="13">
        <v>876</v>
      </c>
      <c r="H17" s="13">
        <v>250.26262626262627</v>
      </c>
      <c r="I17" s="13">
        <v>169.53914639510043</v>
      </c>
    </row>
    <row r="18" spans="2:9" x14ac:dyDescent="0.3">
      <c r="B18" s="5" t="s">
        <v>5</v>
      </c>
      <c r="C18" s="11">
        <v>99</v>
      </c>
      <c r="D18" s="11">
        <v>0</v>
      </c>
      <c r="E18" s="11">
        <v>99</v>
      </c>
      <c r="F18" s="14">
        <v>0.28000000000000003</v>
      </c>
      <c r="G18" s="14">
        <v>36.159999999999997</v>
      </c>
      <c r="H18" s="14">
        <v>12.772828282828277</v>
      </c>
      <c r="I18" s="14">
        <v>10.804747259781848</v>
      </c>
    </row>
    <row r="19" spans="2:9" x14ac:dyDescent="0.3">
      <c r="B19" s="5" t="s">
        <v>6</v>
      </c>
      <c r="C19" s="11">
        <v>99</v>
      </c>
      <c r="D19" s="11">
        <v>0</v>
      </c>
      <c r="E19" s="11">
        <v>99</v>
      </c>
      <c r="F19" s="14">
        <v>0</v>
      </c>
      <c r="G19" s="14">
        <v>99.48</v>
      </c>
      <c r="H19" s="14">
        <v>18.115757575757577</v>
      </c>
      <c r="I19" s="14">
        <v>17.38708047754043</v>
      </c>
    </row>
    <row r="20" spans="2:9" x14ac:dyDescent="0.3">
      <c r="B20" s="5" t="s">
        <v>7</v>
      </c>
      <c r="C20" s="11">
        <v>99</v>
      </c>
      <c r="D20" s="11">
        <v>0</v>
      </c>
      <c r="E20" s="11">
        <v>99</v>
      </c>
      <c r="F20" s="14">
        <v>0</v>
      </c>
      <c r="G20" s="14">
        <v>54.88</v>
      </c>
      <c r="H20" s="14">
        <v>9.4343434343434343</v>
      </c>
      <c r="I20" s="14">
        <v>13.596867148288105</v>
      </c>
    </row>
    <row r="21" spans="2:9" x14ac:dyDescent="0.3">
      <c r="B21" s="5" t="s">
        <v>8</v>
      </c>
      <c r="C21" s="11">
        <v>99</v>
      </c>
      <c r="D21" s="11">
        <v>0</v>
      </c>
      <c r="E21" s="11">
        <v>99</v>
      </c>
      <c r="F21" s="14">
        <v>0</v>
      </c>
      <c r="G21" s="14">
        <v>54.88</v>
      </c>
      <c r="H21" s="14">
        <v>6.7578787878787896</v>
      </c>
      <c r="I21" s="14">
        <v>12.985964108293709</v>
      </c>
    </row>
    <row r="22" spans="2:9" x14ac:dyDescent="0.3">
      <c r="B22" s="5" t="s">
        <v>9</v>
      </c>
      <c r="C22" s="11">
        <v>99</v>
      </c>
      <c r="D22" s="11">
        <v>0</v>
      </c>
      <c r="E22" s="11">
        <v>99</v>
      </c>
      <c r="F22" s="14">
        <v>0</v>
      </c>
      <c r="G22" s="14">
        <v>1</v>
      </c>
      <c r="H22" s="14">
        <v>3.6363636363636362E-2</v>
      </c>
      <c r="I22" s="14">
        <v>0.15613609020400426</v>
      </c>
    </row>
    <row r="23" spans="2:9" x14ac:dyDescent="0.3">
      <c r="B23" s="5" t="s">
        <v>10</v>
      </c>
      <c r="C23" s="11">
        <v>99</v>
      </c>
      <c r="D23" s="11">
        <v>0</v>
      </c>
      <c r="E23" s="11">
        <v>99</v>
      </c>
      <c r="F23" s="14">
        <v>0</v>
      </c>
      <c r="G23" s="14">
        <v>840</v>
      </c>
      <c r="H23" s="14">
        <v>154.48484848484847</v>
      </c>
      <c r="I23" s="14">
        <v>161.49754301766362</v>
      </c>
    </row>
    <row r="24" spans="2:9" x14ac:dyDescent="0.3">
      <c r="B24" s="5" t="s">
        <v>11</v>
      </c>
      <c r="C24" s="11">
        <v>99</v>
      </c>
      <c r="D24" s="11">
        <v>0</v>
      </c>
      <c r="E24" s="11">
        <v>99</v>
      </c>
      <c r="F24" s="14">
        <v>0</v>
      </c>
      <c r="G24" s="14">
        <v>0.56699999999999995</v>
      </c>
      <c r="H24" s="14">
        <v>7.8131313131313163E-2</v>
      </c>
      <c r="I24" s="14">
        <v>9.7315251071531605E-2</v>
      </c>
    </row>
    <row r="25" spans="2:9" x14ac:dyDescent="0.3">
      <c r="B25" s="5" t="s">
        <v>12</v>
      </c>
      <c r="C25" s="11">
        <v>99</v>
      </c>
      <c r="D25" s="11">
        <v>0</v>
      </c>
      <c r="E25" s="11">
        <v>99</v>
      </c>
      <c r="F25" s="14">
        <v>0</v>
      </c>
      <c r="G25" s="14">
        <v>4.03</v>
      </c>
      <c r="H25" s="14">
        <v>0.87676767676767675</v>
      </c>
      <c r="I25" s="14">
        <v>0.94447785843131171</v>
      </c>
    </row>
    <row r="26" spans="2:9" x14ac:dyDescent="0.3">
      <c r="B26" s="5" t="s">
        <v>13</v>
      </c>
      <c r="C26" s="11">
        <v>99</v>
      </c>
      <c r="D26" s="11">
        <v>0</v>
      </c>
      <c r="E26" s="11">
        <v>99</v>
      </c>
      <c r="F26" s="14">
        <v>0</v>
      </c>
      <c r="G26" s="14">
        <v>8.6</v>
      </c>
      <c r="H26" s="14">
        <v>0.77979797979797993</v>
      </c>
      <c r="I26" s="14">
        <v>1.6256854000684993</v>
      </c>
    </row>
    <row r="27" spans="2:9" x14ac:dyDescent="0.3">
      <c r="B27" s="5" t="s">
        <v>14</v>
      </c>
      <c r="C27" s="11">
        <v>99</v>
      </c>
      <c r="D27" s="11">
        <v>0</v>
      </c>
      <c r="E27" s="11">
        <v>99</v>
      </c>
      <c r="F27" s="14">
        <v>0</v>
      </c>
      <c r="G27" s="14">
        <v>2.8</v>
      </c>
      <c r="H27" s="14">
        <v>0.31636363636363635</v>
      </c>
      <c r="I27" s="14">
        <v>0.49144197354120106</v>
      </c>
    </row>
    <row r="28" spans="2:9" x14ac:dyDescent="0.3">
      <c r="B28" s="5" t="s">
        <v>15</v>
      </c>
      <c r="C28" s="11">
        <v>99</v>
      </c>
      <c r="D28" s="11">
        <v>0</v>
      </c>
      <c r="E28" s="11">
        <v>99</v>
      </c>
      <c r="F28" s="14">
        <v>0</v>
      </c>
      <c r="G28" s="14">
        <v>65</v>
      </c>
      <c r="H28" s="14">
        <v>12.232323232323234</v>
      </c>
      <c r="I28" s="14">
        <v>14.494776175721055</v>
      </c>
    </row>
    <row r="29" spans="2:9" x14ac:dyDescent="0.3">
      <c r="B29" s="5" t="s">
        <v>16</v>
      </c>
      <c r="C29" s="11">
        <v>99</v>
      </c>
      <c r="D29" s="11">
        <v>0</v>
      </c>
      <c r="E29" s="11">
        <v>99</v>
      </c>
      <c r="F29" s="14">
        <v>0</v>
      </c>
      <c r="G29" s="14">
        <v>5.56</v>
      </c>
      <c r="H29" s="14">
        <v>0.2315555555555556</v>
      </c>
      <c r="I29" s="14">
        <v>0.58861314384455943</v>
      </c>
    </row>
    <row r="30" spans="2:9" x14ac:dyDescent="0.3">
      <c r="B30" s="5" t="s">
        <v>17</v>
      </c>
      <c r="C30" s="11">
        <v>99</v>
      </c>
      <c r="D30" s="11">
        <v>0</v>
      </c>
      <c r="E30" s="11">
        <v>99</v>
      </c>
      <c r="F30" s="14">
        <v>0</v>
      </c>
      <c r="G30" s="14">
        <v>1.744</v>
      </c>
      <c r="H30" s="14">
        <v>0.31514141414141422</v>
      </c>
      <c r="I30" s="14">
        <v>0.34282050429536265</v>
      </c>
    </row>
    <row r="31" spans="2:9" x14ac:dyDescent="0.3">
      <c r="B31" s="5" t="s">
        <v>18</v>
      </c>
      <c r="C31" s="11">
        <v>99</v>
      </c>
      <c r="D31" s="11">
        <v>0</v>
      </c>
      <c r="E31" s="11">
        <v>99</v>
      </c>
      <c r="F31" s="14">
        <v>0</v>
      </c>
      <c r="G31" s="14">
        <v>0.41499999999999998</v>
      </c>
      <c r="H31" s="14">
        <v>5.3898989898989912E-2</v>
      </c>
      <c r="I31" s="14">
        <v>8.5937506357639235E-2</v>
      </c>
    </row>
    <row r="32" spans="2:9" x14ac:dyDescent="0.3">
      <c r="B32" s="5" t="s">
        <v>19</v>
      </c>
      <c r="C32" s="11">
        <v>99</v>
      </c>
      <c r="D32" s="11">
        <v>0</v>
      </c>
      <c r="E32" s="11">
        <v>99</v>
      </c>
      <c r="F32" s="14">
        <v>3</v>
      </c>
      <c r="G32" s="14">
        <v>1257</v>
      </c>
      <c r="H32" s="14">
        <v>365.04040404040421</v>
      </c>
      <c r="I32" s="14">
        <v>344.82281516897859</v>
      </c>
    </row>
    <row r="33" spans="2:25" x14ac:dyDescent="0.3">
      <c r="B33" s="5" t="s">
        <v>20</v>
      </c>
      <c r="C33" s="11">
        <v>99</v>
      </c>
      <c r="D33" s="11">
        <v>0</v>
      </c>
      <c r="E33" s="11">
        <v>99</v>
      </c>
      <c r="F33" s="14">
        <v>0</v>
      </c>
      <c r="G33" s="14">
        <v>0.55900000000000005</v>
      </c>
      <c r="H33" s="14">
        <v>3.6383838383838379E-2</v>
      </c>
      <c r="I33" s="14">
        <v>5.8228562153144356E-2</v>
      </c>
    </row>
    <row r="34" spans="2:25" x14ac:dyDescent="0.3">
      <c r="B34" s="5" t="s">
        <v>21</v>
      </c>
      <c r="C34" s="11">
        <v>99</v>
      </c>
      <c r="D34" s="11">
        <v>0</v>
      </c>
      <c r="E34" s="11">
        <v>99</v>
      </c>
      <c r="F34" s="14">
        <v>0</v>
      </c>
      <c r="G34" s="14">
        <v>1.1499999999999999</v>
      </c>
      <c r="H34" s="14">
        <v>0.25818181818181835</v>
      </c>
      <c r="I34" s="14">
        <v>0.23371604800402496</v>
      </c>
    </row>
    <row r="35" spans="2:25" x14ac:dyDescent="0.3">
      <c r="B35" s="5" t="s">
        <v>22</v>
      </c>
      <c r="C35" s="11">
        <v>99</v>
      </c>
      <c r="D35" s="11">
        <v>0</v>
      </c>
      <c r="E35" s="11">
        <v>99</v>
      </c>
      <c r="F35" s="14">
        <v>0</v>
      </c>
      <c r="G35" s="14">
        <v>117</v>
      </c>
      <c r="H35" s="14">
        <v>22.404040404040398</v>
      </c>
      <c r="I35" s="14">
        <v>23.135765753005508</v>
      </c>
    </row>
    <row r="36" spans="2:25" x14ac:dyDescent="0.3">
      <c r="B36" s="5" t="s">
        <v>23</v>
      </c>
      <c r="C36" s="11">
        <v>99</v>
      </c>
      <c r="D36" s="11">
        <v>0</v>
      </c>
      <c r="E36" s="11">
        <v>99</v>
      </c>
      <c r="F36" s="14">
        <v>0</v>
      </c>
      <c r="G36" s="14">
        <v>0.22500000000000001</v>
      </c>
      <c r="H36" s="14">
        <v>2.2171717171717179E-2</v>
      </c>
      <c r="I36" s="14">
        <v>3.575256246105217E-2</v>
      </c>
    </row>
    <row r="37" spans="2:25" x14ac:dyDescent="0.3">
      <c r="B37" s="5" t="s">
        <v>24</v>
      </c>
      <c r="C37" s="11">
        <v>99</v>
      </c>
      <c r="D37" s="11">
        <v>0</v>
      </c>
      <c r="E37" s="11">
        <v>99</v>
      </c>
      <c r="F37" s="14">
        <v>3</v>
      </c>
      <c r="G37" s="14">
        <v>1011</v>
      </c>
      <c r="H37" s="14">
        <v>292.95959595959602</v>
      </c>
      <c r="I37" s="14">
        <v>258.07509266276799</v>
      </c>
    </row>
    <row r="38" spans="2:25" x14ac:dyDescent="0.3">
      <c r="B38" s="5" t="s">
        <v>25</v>
      </c>
      <c r="C38" s="11">
        <v>99</v>
      </c>
      <c r="D38" s="11">
        <v>0</v>
      </c>
      <c r="E38" s="11">
        <v>99</v>
      </c>
      <c r="F38" s="14">
        <v>0</v>
      </c>
      <c r="G38" s="14">
        <v>34.4</v>
      </c>
      <c r="H38" s="14">
        <v>9.3060606060606048</v>
      </c>
      <c r="I38" s="14">
        <v>8.2061303389080127</v>
      </c>
    </row>
    <row r="39" spans="2:25" ht="15" thickBot="1" x14ac:dyDescent="0.35">
      <c r="B39" s="9" t="s">
        <v>26</v>
      </c>
      <c r="C39" s="12">
        <v>99</v>
      </c>
      <c r="D39" s="12">
        <v>0</v>
      </c>
      <c r="E39" s="12">
        <v>99</v>
      </c>
      <c r="F39" s="15">
        <v>0.01</v>
      </c>
      <c r="G39" s="15">
        <v>4.41</v>
      </c>
      <c r="H39" s="15">
        <v>1.5740404040404041</v>
      </c>
      <c r="I39" s="15">
        <v>1.4256906090160553</v>
      </c>
    </row>
    <row r="42" spans="2:25" x14ac:dyDescent="0.3">
      <c r="B42" t="s">
        <v>341</v>
      </c>
    </row>
    <row r="43" spans="2:25" ht="15" thickBot="1" x14ac:dyDescent="0.35"/>
    <row r="44" spans="2:25" ht="28.8" x14ac:dyDescent="0.3">
      <c r="B44" s="6" t="s">
        <v>342</v>
      </c>
      <c r="C44" s="7" t="s">
        <v>4</v>
      </c>
      <c r="D44" s="7" t="s">
        <v>5</v>
      </c>
      <c r="E44" s="7" t="s">
        <v>6</v>
      </c>
      <c r="F44" s="7" t="s">
        <v>7</v>
      </c>
      <c r="G44" s="7" t="s">
        <v>8</v>
      </c>
      <c r="H44" s="7" t="s">
        <v>9</v>
      </c>
      <c r="I44" s="7" t="s">
        <v>10</v>
      </c>
      <c r="J44" s="7" t="s">
        <v>11</v>
      </c>
      <c r="K44" s="7" t="s">
        <v>12</v>
      </c>
      <c r="L44" s="7" t="s">
        <v>13</v>
      </c>
      <c r="M44" s="7" t="s">
        <v>14</v>
      </c>
      <c r="N44" s="7" t="s">
        <v>15</v>
      </c>
      <c r="O44" s="7" t="s">
        <v>16</v>
      </c>
      <c r="P44" s="7" t="s">
        <v>17</v>
      </c>
      <c r="Q44" s="7" t="s">
        <v>18</v>
      </c>
      <c r="R44" s="7" t="s">
        <v>19</v>
      </c>
      <c r="S44" s="7" t="s">
        <v>20</v>
      </c>
      <c r="T44" s="7" t="s">
        <v>21</v>
      </c>
      <c r="U44" s="7" t="s">
        <v>22</v>
      </c>
      <c r="V44" s="7" t="s">
        <v>23</v>
      </c>
      <c r="W44" s="7" t="s">
        <v>24</v>
      </c>
      <c r="X44" s="7" t="s">
        <v>25</v>
      </c>
      <c r="Y44" s="7" t="s">
        <v>26</v>
      </c>
    </row>
    <row r="45" spans="2:25" x14ac:dyDescent="0.3">
      <c r="B45" s="16" t="s">
        <v>4</v>
      </c>
      <c r="C45" s="22">
        <v>1</v>
      </c>
      <c r="D45" s="21">
        <v>0.4573629382025674</v>
      </c>
      <c r="E45" s="21">
        <v>0.89828921791632155</v>
      </c>
      <c r="F45" s="21">
        <v>0.2093874780947356</v>
      </c>
      <c r="G45" s="18">
        <v>0.18002018369829811</v>
      </c>
      <c r="H45" s="21">
        <v>-0.2221304747187231</v>
      </c>
      <c r="I45" s="21">
        <v>0.73394634955976268</v>
      </c>
      <c r="J45" s="18">
        <v>0.16891364700329919</v>
      </c>
      <c r="K45" s="21">
        <v>0.3414718464965304</v>
      </c>
      <c r="L45" s="18">
        <v>-2.1142696861580386E-2</v>
      </c>
      <c r="M45" s="21">
        <v>0.65138347253885487</v>
      </c>
      <c r="N45" s="21">
        <v>0.24606722390746502</v>
      </c>
      <c r="O45" s="18">
        <v>-3.2209995021774862E-3</v>
      </c>
      <c r="P45" s="21">
        <v>0.26773127387320256</v>
      </c>
      <c r="Q45" s="18">
        <v>0.10227397417982957</v>
      </c>
      <c r="R45" s="21">
        <v>0.43020314499539425</v>
      </c>
      <c r="S45" s="18">
        <v>1.0517272974386701E-2</v>
      </c>
      <c r="T45" s="21">
        <v>0.40462657869462582</v>
      </c>
      <c r="U45" s="21">
        <v>0.22459463404236843</v>
      </c>
      <c r="V45" s="21">
        <v>0.22988258244087131</v>
      </c>
      <c r="W45" s="21">
        <v>0.45574646057664187</v>
      </c>
      <c r="X45" s="21">
        <v>0.4094954086999304</v>
      </c>
      <c r="Y45" s="21">
        <v>0.44554229867316614</v>
      </c>
    </row>
    <row r="46" spans="2:25" x14ac:dyDescent="0.3">
      <c r="B46" s="4" t="s">
        <v>5</v>
      </c>
      <c r="C46" s="23">
        <v>0.4573629382025674</v>
      </c>
      <c r="D46" s="24">
        <v>1</v>
      </c>
      <c r="E46" s="19">
        <v>0.15999070038824156</v>
      </c>
      <c r="F46" s="19">
        <v>0.13429063883324613</v>
      </c>
      <c r="G46" s="19">
        <v>5.4193453175305648E-2</v>
      </c>
      <c r="H46" s="19">
        <v>-0.18718761817432505</v>
      </c>
      <c r="I46" s="23">
        <v>0.27190707823253069</v>
      </c>
      <c r="J46" s="23">
        <v>0.54624944221830907</v>
      </c>
      <c r="K46" s="23">
        <v>0.78901081372960247</v>
      </c>
      <c r="L46" s="23">
        <v>0.19767994930537056</v>
      </c>
      <c r="M46" s="23">
        <v>-0.21748237539941215</v>
      </c>
      <c r="N46" s="23">
        <v>0.59619014117185731</v>
      </c>
      <c r="O46" s="23">
        <v>0.2411837496619369</v>
      </c>
      <c r="P46" s="23">
        <v>0.63887819592454553</v>
      </c>
      <c r="Q46" s="23">
        <v>0.39979497238770234</v>
      </c>
      <c r="R46" s="23">
        <v>0.91646196603659213</v>
      </c>
      <c r="S46" s="19">
        <v>0.14380585462002521</v>
      </c>
      <c r="T46" s="23">
        <v>0.55118727961585856</v>
      </c>
      <c r="U46" s="23">
        <v>0.6611606258759728</v>
      </c>
      <c r="V46" s="19">
        <v>-6.5264246935699988E-2</v>
      </c>
      <c r="W46" s="23">
        <v>0.90686242621756163</v>
      </c>
      <c r="X46" s="23">
        <v>0.90564515615653784</v>
      </c>
      <c r="Y46" s="23">
        <v>0.94350546843451499</v>
      </c>
    </row>
    <row r="47" spans="2:25" x14ac:dyDescent="0.3">
      <c r="B47" s="4" t="s">
        <v>6</v>
      </c>
      <c r="C47" s="23">
        <v>0.89828921791632155</v>
      </c>
      <c r="D47" s="19">
        <v>0.15999070038824156</v>
      </c>
      <c r="E47" s="24">
        <v>1</v>
      </c>
      <c r="F47" s="19">
        <v>-0.15321629183632018</v>
      </c>
      <c r="G47" s="19">
        <v>-0.11506286359055286</v>
      </c>
      <c r="H47" s="23">
        <v>-0.2015997720032193</v>
      </c>
      <c r="I47" s="23">
        <v>0.78181737535100193</v>
      </c>
      <c r="J47" s="19">
        <v>-0.10879556390915919</v>
      </c>
      <c r="K47" s="19">
        <v>-5.2068793008834904E-4</v>
      </c>
      <c r="L47" s="23">
        <v>-0.28364019528515066</v>
      </c>
      <c r="M47" s="23">
        <v>0.7942741569660734</v>
      </c>
      <c r="N47" s="19">
        <v>1.8439346853234204E-2</v>
      </c>
      <c r="O47" s="19">
        <v>-0.13516299048841052</v>
      </c>
      <c r="P47" s="19">
        <v>-0.10385321974656164</v>
      </c>
      <c r="Q47" s="23">
        <v>-0.21262277872241414</v>
      </c>
      <c r="R47" s="19">
        <v>0.15737342538335378</v>
      </c>
      <c r="S47" s="19">
        <v>-0.10499716445008077</v>
      </c>
      <c r="T47" s="23">
        <v>0.23552710676163063</v>
      </c>
      <c r="U47" s="19">
        <v>-0.12987099322539403</v>
      </c>
      <c r="V47" s="19">
        <v>0.11425413346604192</v>
      </c>
      <c r="W47" s="19">
        <v>0.11563878239862946</v>
      </c>
      <c r="X47" s="19">
        <v>0.11642130136056232</v>
      </c>
      <c r="Y47" s="19">
        <v>0.17580264534820084</v>
      </c>
    </row>
    <row r="48" spans="2:25" x14ac:dyDescent="0.3">
      <c r="B48" s="4" t="s">
        <v>7</v>
      </c>
      <c r="C48" s="23">
        <v>0.2093874780947356</v>
      </c>
      <c r="D48" s="19">
        <v>0.13429063883324613</v>
      </c>
      <c r="E48" s="19">
        <v>-0.15321629183632018</v>
      </c>
      <c r="F48" s="24">
        <v>1</v>
      </c>
      <c r="G48" s="23">
        <v>0.86458614675087786</v>
      </c>
      <c r="H48" s="19">
        <v>3.4988488786418213E-2</v>
      </c>
      <c r="I48" s="19">
        <v>-0.14445932049957871</v>
      </c>
      <c r="J48" s="23">
        <v>0.38635940249218925</v>
      </c>
      <c r="K48" s="23">
        <v>0.41178349148880078</v>
      </c>
      <c r="L48" s="23">
        <v>0.58173128942916696</v>
      </c>
      <c r="M48" s="19">
        <v>-2.0302632490555542E-2</v>
      </c>
      <c r="N48" s="23">
        <v>0.21678002759163764</v>
      </c>
      <c r="O48" s="19">
        <v>0.17898677223036721</v>
      </c>
      <c r="P48" s="23">
        <v>0.60532731686563612</v>
      </c>
      <c r="Q48" s="23">
        <v>0.60066752504109233</v>
      </c>
      <c r="R48" s="19">
        <v>0.12789677999092658</v>
      </c>
      <c r="S48" s="23">
        <v>0.22037391665649825</v>
      </c>
      <c r="T48" s="19">
        <v>0.13552663630806061</v>
      </c>
      <c r="U48" s="23">
        <v>0.52542744545596243</v>
      </c>
      <c r="V48" s="23">
        <v>0.46274324808728856</v>
      </c>
      <c r="W48" s="23">
        <v>0.33885627627731429</v>
      </c>
      <c r="X48" s="19">
        <v>0.1894967621555414</v>
      </c>
      <c r="Y48" s="19">
        <v>0.10051017431072658</v>
      </c>
    </row>
    <row r="49" spans="2:25" x14ac:dyDescent="0.3">
      <c r="B49" s="4" t="s">
        <v>8</v>
      </c>
      <c r="C49" s="19">
        <v>0.18002018369829811</v>
      </c>
      <c r="D49" s="19">
        <v>5.4193453175305648E-2</v>
      </c>
      <c r="E49" s="19">
        <v>-0.11506286359055286</v>
      </c>
      <c r="F49" s="23">
        <v>0.86458614675087786</v>
      </c>
      <c r="G49" s="24">
        <v>1</v>
      </c>
      <c r="H49" s="19">
        <v>5.7430731813014169E-2</v>
      </c>
      <c r="I49" s="19">
        <v>-0.12293681445689331</v>
      </c>
      <c r="J49" s="23">
        <v>0.25451331369436214</v>
      </c>
      <c r="K49" s="23">
        <v>0.24907494005923347</v>
      </c>
      <c r="L49" s="23">
        <v>0.50194850512324007</v>
      </c>
      <c r="M49" s="19">
        <v>6.8849031855796994E-2</v>
      </c>
      <c r="N49" s="19">
        <v>0.17192447193169638</v>
      </c>
      <c r="O49" s="19">
        <v>0.11124272117691139</v>
      </c>
      <c r="P49" s="23">
        <v>0.39510209404039354</v>
      </c>
      <c r="Q49" s="23">
        <v>0.4913445953596316</v>
      </c>
      <c r="R49" s="19">
        <v>0.12454210940821145</v>
      </c>
      <c r="S49" s="19">
        <v>0.19503707427249234</v>
      </c>
      <c r="T49" s="19">
        <v>7.6632842407765522E-2</v>
      </c>
      <c r="U49" s="23">
        <v>0.41292654435436577</v>
      </c>
      <c r="V49" s="23">
        <v>0.47880976136817299</v>
      </c>
      <c r="W49" s="23">
        <v>0.21738312167334947</v>
      </c>
      <c r="X49" s="19">
        <v>5.6650101508043386E-2</v>
      </c>
      <c r="Y49" s="19">
        <v>2.4337857400208232E-2</v>
      </c>
    </row>
    <row r="50" spans="2:25" x14ac:dyDescent="0.3">
      <c r="B50" s="4" t="s">
        <v>9</v>
      </c>
      <c r="C50" s="23">
        <v>-0.2221304747187231</v>
      </c>
      <c r="D50" s="19">
        <v>-0.18718761817432505</v>
      </c>
      <c r="E50" s="23">
        <v>-0.2015997720032193</v>
      </c>
      <c r="F50" s="19">
        <v>3.4988488786418213E-2</v>
      </c>
      <c r="G50" s="19">
        <v>5.7430731813014169E-2</v>
      </c>
      <c r="H50" s="24">
        <v>1</v>
      </c>
      <c r="I50" s="19">
        <v>-0.15067831721271069</v>
      </c>
      <c r="J50" s="19">
        <v>-9.6553101296772789E-2</v>
      </c>
      <c r="K50" s="19">
        <v>-0.12035641122290723</v>
      </c>
      <c r="L50" s="19">
        <v>-3.7277055943136558E-2</v>
      </c>
      <c r="M50" s="19">
        <v>-0.12805120358469432</v>
      </c>
      <c r="N50" s="19">
        <v>-0.12009752183388885</v>
      </c>
      <c r="O50" s="19">
        <v>-3.8560748187121525E-2</v>
      </c>
      <c r="P50" s="19">
        <v>-9.1773674800742749E-2</v>
      </c>
      <c r="Q50" s="19">
        <v>-3.9192381010515288E-2</v>
      </c>
      <c r="R50" s="19">
        <v>-0.16387499590971305</v>
      </c>
      <c r="S50" s="19">
        <v>0.15692719371723865</v>
      </c>
      <c r="T50" s="19">
        <v>4.2656121187226455E-2</v>
      </c>
      <c r="U50" s="19">
        <v>-6.3711939353466793E-2</v>
      </c>
      <c r="V50" s="19">
        <v>0.16557870588364867</v>
      </c>
      <c r="W50" s="19">
        <v>-0.15476600724037543</v>
      </c>
      <c r="X50" s="19">
        <v>-0.17832883513617614</v>
      </c>
      <c r="Y50" s="19">
        <v>-0.17064176905218786</v>
      </c>
    </row>
    <row r="51" spans="2:25" x14ac:dyDescent="0.3">
      <c r="B51" s="4" t="s">
        <v>10</v>
      </c>
      <c r="C51" s="23">
        <v>0.73394634955976268</v>
      </c>
      <c r="D51" s="23">
        <v>0.27190707823253069</v>
      </c>
      <c r="E51" s="23">
        <v>0.78181737535100193</v>
      </c>
      <c r="F51" s="19">
        <v>-0.14445932049957871</v>
      </c>
      <c r="G51" s="19">
        <v>-0.12293681445689331</v>
      </c>
      <c r="H51" s="19">
        <v>-0.15067831721271069</v>
      </c>
      <c r="I51" s="24">
        <v>1</v>
      </c>
      <c r="J51" s="19">
        <v>8.1774392783062158E-2</v>
      </c>
      <c r="K51" s="23">
        <v>0.21543885846869801</v>
      </c>
      <c r="L51" s="19">
        <v>-8.2564535822703164E-2</v>
      </c>
      <c r="M51" s="23">
        <v>0.56293286458772518</v>
      </c>
      <c r="N51" s="23">
        <v>0.20923597537466029</v>
      </c>
      <c r="O51" s="19">
        <v>-1.1556304532334406E-2</v>
      </c>
      <c r="P51" s="19">
        <v>0.15823087647410536</v>
      </c>
      <c r="Q51" s="19">
        <v>7.036834683684591E-2</v>
      </c>
      <c r="R51" s="23">
        <v>0.31366280321321127</v>
      </c>
      <c r="S51" s="19">
        <v>-0.11545893393344331</v>
      </c>
      <c r="T51" s="19">
        <v>0.13250920892792842</v>
      </c>
      <c r="U51" s="19">
        <v>0.13629570258258825</v>
      </c>
      <c r="V51" s="19">
        <v>-0.16794152707325685</v>
      </c>
      <c r="W51" s="23">
        <v>0.24240146737327334</v>
      </c>
      <c r="X51" s="23">
        <v>0.26184045961713626</v>
      </c>
      <c r="Y51" s="23">
        <v>0.28307119812225107</v>
      </c>
    </row>
    <row r="52" spans="2:25" x14ac:dyDescent="0.3">
      <c r="B52" s="4" t="s">
        <v>11</v>
      </c>
      <c r="C52" s="19">
        <v>0.16891364700329919</v>
      </c>
      <c r="D52" s="23">
        <v>0.54624944221830907</v>
      </c>
      <c r="E52" s="19">
        <v>-0.10879556390915919</v>
      </c>
      <c r="F52" s="23">
        <v>0.38635940249218925</v>
      </c>
      <c r="G52" s="23">
        <v>0.25451331369436214</v>
      </c>
      <c r="H52" s="19">
        <v>-9.6553101296772789E-2</v>
      </c>
      <c r="I52" s="19">
        <v>8.1774392783062158E-2</v>
      </c>
      <c r="J52" s="24">
        <v>1</v>
      </c>
      <c r="K52" s="23">
        <v>0.7242292237047474</v>
      </c>
      <c r="L52" s="23">
        <v>0.43295709602036986</v>
      </c>
      <c r="M52" s="23">
        <v>-0.20721098564211457</v>
      </c>
      <c r="N52" s="23">
        <v>0.63203156421866946</v>
      </c>
      <c r="O52" s="23">
        <v>0.76923004229928305</v>
      </c>
      <c r="P52" s="23">
        <v>0.81005362293062222</v>
      </c>
      <c r="Q52" s="23">
        <v>0.85776121578997666</v>
      </c>
      <c r="R52" s="23">
        <v>0.53055918042297134</v>
      </c>
      <c r="S52" s="23">
        <v>0.54371748690100019</v>
      </c>
      <c r="T52" s="23">
        <v>0.22258423488209442</v>
      </c>
      <c r="U52" s="23">
        <v>0.828852261008031</v>
      </c>
      <c r="V52" s="19">
        <v>-8.1087369672447243E-2</v>
      </c>
      <c r="W52" s="23">
        <v>0.555565619733421</v>
      </c>
      <c r="X52" s="23">
        <v>0.54191642231716508</v>
      </c>
      <c r="Y52" s="23">
        <v>0.58111969031868682</v>
      </c>
    </row>
    <row r="53" spans="2:25" x14ac:dyDescent="0.3">
      <c r="B53" s="4" t="s">
        <v>12</v>
      </c>
      <c r="C53" s="23">
        <v>0.3414718464965304</v>
      </c>
      <c r="D53" s="23">
        <v>0.78901081372960247</v>
      </c>
      <c r="E53" s="19">
        <v>-5.2068793008834904E-4</v>
      </c>
      <c r="F53" s="23">
        <v>0.41178349148880078</v>
      </c>
      <c r="G53" s="23">
        <v>0.24907494005923347</v>
      </c>
      <c r="H53" s="19">
        <v>-0.12035641122290723</v>
      </c>
      <c r="I53" s="23">
        <v>0.21543885846869801</v>
      </c>
      <c r="J53" s="23">
        <v>0.7242292237047474</v>
      </c>
      <c r="K53" s="24">
        <v>1</v>
      </c>
      <c r="L53" s="23">
        <v>0.49288081954254404</v>
      </c>
      <c r="M53" s="23">
        <v>-0.20064863843264344</v>
      </c>
      <c r="N53" s="23">
        <v>0.60998243370569516</v>
      </c>
      <c r="O53" s="23">
        <v>0.34711914927857374</v>
      </c>
      <c r="P53" s="23">
        <v>0.84789953959642539</v>
      </c>
      <c r="Q53" s="23">
        <v>0.71286291200529939</v>
      </c>
      <c r="R53" s="23">
        <v>0.74243290666180539</v>
      </c>
      <c r="S53" s="19">
        <v>0.18784305249825781</v>
      </c>
      <c r="T53" s="23">
        <v>0.32253430473635258</v>
      </c>
      <c r="U53" s="23">
        <v>0.81419794880796825</v>
      </c>
      <c r="V53" s="19">
        <v>-8.8795989062647726E-2</v>
      </c>
      <c r="W53" s="23">
        <v>0.79726104131245112</v>
      </c>
      <c r="X53" s="23">
        <v>0.75661782968034363</v>
      </c>
      <c r="Y53" s="23">
        <v>0.7980250797109627</v>
      </c>
    </row>
    <row r="54" spans="2:25" x14ac:dyDescent="0.3">
      <c r="B54" s="4" t="s">
        <v>13</v>
      </c>
      <c r="C54" s="19">
        <v>-2.1142696861580386E-2</v>
      </c>
      <c r="D54" s="23">
        <v>0.19767994930537056</v>
      </c>
      <c r="E54" s="23">
        <v>-0.28364019528515066</v>
      </c>
      <c r="F54" s="23">
        <v>0.58173128942916696</v>
      </c>
      <c r="G54" s="23">
        <v>0.50194850512324007</v>
      </c>
      <c r="H54" s="19">
        <v>-3.7277055943136558E-2</v>
      </c>
      <c r="I54" s="19">
        <v>-8.2564535822703164E-2</v>
      </c>
      <c r="J54" s="23">
        <v>0.43295709602036986</v>
      </c>
      <c r="K54" s="23">
        <v>0.49288081954254404</v>
      </c>
      <c r="L54" s="24">
        <v>1</v>
      </c>
      <c r="M54" s="19">
        <v>-0.15439364565117902</v>
      </c>
      <c r="N54" s="23">
        <v>0.37564506656325353</v>
      </c>
      <c r="O54" s="19">
        <v>0.16162325163756969</v>
      </c>
      <c r="P54" s="23">
        <v>0.6412464896052098</v>
      </c>
      <c r="Q54" s="23">
        <v>0.62210932397365293</v>
      </c>
      <c r="R54" s="23">
        <v>0.19790378364427377</v>
      </c>
      <c r="S54" s="19">
        <v>3.3639547131212838E-2</v>
      </c>
      <c r="T54" s="19">
        <v>-7.9404807786805975E-2</v>
      </c>
      <c r="U54" s="23">
        <v>0.56778373055773934</v>
      </c>
      <c r="V54" s="19">
        <v>-6.8303505550854474E-2</v>
      </c>
      <c r="W54" s="23">
        <v>0.3561312588238319</v>
      </c>
      <c r="X54" s="19">
        <v>0.16495016054158085</v>
      </c>
      <c r="Y54" s="19">
        <v>0.15200994124787892</v>
      </c>
    </row>
    <row r="55" spans="2:25" x14ac:dyDescent="0.3">
      <c r="B55" s="4" t="s">
        <v>14</v>
      </c>
      <c r="C55" s="23">
        <v>0.65138347253885487</v>
      </c>
      <c r="D55" s="23">
        <v>-0.21748237539941215</v>
      </c>
      <c r="E55" s="23">
        <v>0.7942741569660734</v>
      </c>
      <c r="F55" s="19">
        <v>-2.0302632490555542E-2</v>
      </c>
      <c r="G55" s="19">
        <v>6.8849031855796994E-2</v>
      </c>
      <c r="H55" s="19">
        <v>-0.12805120358469432</v>
      </c>
      <c r="I55" s="23">
        <v>0.56293286458772518</v>
      </c>
      <c r="J55" s="23">
        <v>-0.20721098564211457</v>
      </c>
      <c r="K55" s="23">
        <v>-0.20064863843264344</v>
      </c>
      <c r="L55" s="19">
        <v>-0.15439364565117902</v>
      </c>
      <c r="M55" s="24">
        <v>1</v>
      </c>
      <c r="N55" s="19">
        <v>-0.18298045917105971</v>
      </c>
      <c r="O55" s="19">
        <v>-0.10154371386104276</v>
      </c>
      <c r="P55" s="23">
        <v>-0.25078056439765894</v>
      </c>
      <c r="Q55" s="19">
        <v>-0.18617584845471838</v>
      </c>
      <c r="R55" s="19">
        <v>-0.17728814585725231</v>
      </c>
      <c r="S55" s="19">
        <v>-4.1896065160907318E-2</v>
      </c>
      <c r="T55" s="19">
        <v>-0.15962536234709496</v>
      </c>
      <c r="U55" s="23">
        <v>-0.22162422878364921</v>
      </c>
      <c r="V55" s="19">
        <v>0.1493078904960666</v>
      </c>
      <c r="W55" s="19">
        <v>-0.19738821114057759</v>
      </c>
      <c r="X55" s="19">
        <v>-0.18341476200529899</v>
      </c>
      <c r="Y55" s="19">
        <v>-0.18736758773467627</v>
      </c>
    </row>
    <row r="56" spans="2:25" x14ac:dyDescent="0.3">
      <c r="B56" s="4" t="s">
        <v>15</v>
      </c>
      <c r="C56" s="23">
        <v>0.24606722390746502</v>
      </c>
      <c r="D56" s="23">
        <v>0.59619014117185731</v>
      </c>
      <c r="E56" s="19">
        <v>1.8439346853234204E-2</v>
      </c>
      <c r="F56" s="23">
        <v>0.21678002759163764</v>
      </c>
      <c r="G56" s="19">
        <v>0.17192447193169638</v>
      </c>
      <c r="H56" s="19">
        <v>-0.12009752183388885</v>
      </c>
      <c r="I56" s="23">
        <v>0.20923597537466029</v>
      </c>
      <c r="J56" s="23">
        <v>0.63203156421866946</v>
      </c>
      <c r="K56" s="23">
        <v>0.60998243370569516</v>
      </c>
      <c r="L56" s="23">
        <v>0.37564506656325353</v>
      </c>
      <c r="M56" s="19">
        <v>-0.18298045917105971</v>
      </c>
      <c r="N56" s="24">
        <v>1</v>
      </c>
      <c r="O56" s="23">
        <v>0.25880466182174749</v>
      </c>
      <c r="P56" s="23">
        <v>0.69259104484753709</v>
      </c>
      <c r="Q56" s="23">
        <v>0.48209043592409878</v>
      </c>
      <c r="R56" s="23">
        <v>0.4562116270097708</v>
      </c>
      <c r="S56" s="19">
        <v>1.8004087877120812E-2</v>
      </c>
      <c r="T56" s="23">
        <v>0.23579510269309861</v>
      </c>
      <c r="U56" s="23">
        <v>0.51121794720871239</v>
      </c>
      <c r="V56" s="19">
        <v>-5.1056294802778991E-2</v>
      </c>
      <c r="W56" s="23">
        <v>0.52151062241628787</v>
      </c>
      <c r="X56" s="23">
        <v>0.57139282757950671</v>
      </c>
      <c r="Y56" s="23">
        <v>0.53189787333131433</v>
      </c>
    </row>
    <row r="57" spans="2:25" x14ac:dyDescent="0.3">
      <c r="B57" s="4" t="s">
        <v>16</v>
      </c>
      <c r="C57" s="19">
        <v>-3.2209995021774862E-3</v>
      </c>
      <c r="D57" s="23">
        <v>0.2411837496619369</v>
      </c>
      <c r="E57" s="19">
        <v>-0.13516299048841052</v>
      </c>
      <c r="F57" s="19">
        <v>0.17898677223036721</v>
      </c>
      <c r="G57" s="19">
        <v>0.11124272117691139</v>
      </c>
      <c r="H57" s="19">
        <v>-3.8560748187121525E-2</v>
      </c>
      <c r="I57" s="19">
        <v>-1.1556304532334406E-2</v>
      </c>
      <c r="J57" s="23">
        <v>0.76923004229928305</v>
      </c>
      <c r="K57" s="23">
        <v>0.34711914927857374</v>
      </c>
      <c r="L57" s="19">
        <v>0.16162325163756969</v>
      </c>
      <c r="M57" s="19">
        <v>-0.10154371386104276</v>
      </c>
      <c r="N57" s="23">
        <v>0.25880466182174749</v>
      </c>
      <c r="O57" s="24">
        <v>1</v>
      </c>
      <c r="P57" s="23">
        <v>0.38329551289571795</v>
      </c>
      <c r="Q57" s="23">
        <v>0.66364779400095331</v>
      </c>
      <c r="R57" s="23">
        <v>0.27461266618602082</v>
      </c>
      <c r="S57" s="23">
        <v>0.8792740876586248</v>
      </c>
      <c r="T57" s="19">
        <v>-1.3513135520869832E-2</v>
      </c>
      <c r="U57" s="23">
        <v>0.62334725922679612</v>
      </c>
      <c r="V57" s="19">
        <v>-7.336298578310417E-2</v>
      </c>
      <c r="W57" s="19">
        <v>0.1953465532441839</v>
      </c>
      <c r="X57" s="23">
        <v>0.22994432017721056</v>
      </c>
      <c r="Y57" s="23">
        <v>0.31837640040821075</v>
      </c>
    </row>
    <row r="58" spans="2:25" x14ac:dyDescent="0.3">
      <c r="B58" s="4" t="s">
        <v>17</v>
      </c>
      <c r="C58" s="23">
        <v>0.26773127387320256</v>
      </c>
      <c r="D58" s="23">
        <v>0.63887819592454553</v>
      </c>
      <c r="E58" s="19">
        <v>-0.10385321974656164</v>
      </c>
      <c r="F58" s="23">
        <v>0.60532731686563612</v>
      </c>
      <c r="G58" s="23">
        <v>0.39510209404039354</v>
      </c>
      <c r="H58" s="19">
        <v>-9.1773674800742749E-2</v>
      </c>
      <c r="I58" s="19">
        <v>0.15823087647410536</v>
      </c>
      <c r="J58" s="23">
        <v>0.81005362293062222</v>
      </c>
      <c r="K58" s="23">
        <v>0.84789953959642539</v>
      </c>
      <c r="L58" s="23">
        <v>0.6412464896052098</v>
      </c>
      <c r="M58" s="23">
        <v>-0.25078056439765894</v>
      </c>
      <c r="N58" s="23">
        <v>0.69259104484753709</v>
      </c>
      <c r="O58" s="23">
        <v>0.38329551289571795</v>
      </c>
      <c r="P58" s="24">
        <v>1</v>
      </c>
      <c r="Q58" s="23">
        <v>0.84549926419257138</v>
      </c>
      <c r="R58" s="23">
        <v>0.60204296417435321</v>
      </c>
      <c r="S58" s="19">
        <v>0.17954552081538622</v>
      </c>
      <c r="T58" s="23">
        <v>0.31975280790398553</v>
      </c>
      <c r="U58" s="23">
        <v>0.86110860771817166</v>
      </c>
      <c r="V58" s="19">
        <v>-4.1009938130751558E-2</v>
      </c>
      <c r="W58" s="23">
        <v>0.74140860623870164</v>
      </c>
      <c r="X58" s="23">
        <v>0.64160301551309284</v>
      </c>
      <c r="Y58" s="23">
        <v>0.60725837340931166</v>
      </c>
    </row>
    <row r="59" spans="2:25" x14ac:dyDescent="0.3">
      <c r="B59" s="4" t="s">
        <v>18</v>
      </c>
      <c r="C59" s="19">
        <v>0.10227397417982957</v>
      </c>
      <c r="D59" s="23">
        <v>0.39979497238770234</v>
      </c>
      <c r="E59" s="23">
        <v>-0.21262277872241414</v>
      </c>
      <c r="F59" s="23">
        <v>0.60066752504109233</v>
      </c>
      <c r="G59" s="23">
        <v>0.4913445953596316</v>
      </c>
      <c r="H59" s="19">
        <v>-3.9192381010515288E-2</v>
      </c>
      <c r="I59" s="19">
        <v>7.036834683684591E-2</v>
      </c>
      <c r="J59" s="23">
        <v>0.85776121578997666</v>
      </c>
      <c r="K59" s="23">
        <v>0.71286291200529939</v>
      </c>
      <c r="L59" s="23">
        <v>0.62210932397365293</v>
      </c>
      <c r="M59" s="19">
        <v>-0.18617584845471838</v>
      </c>
      <c r="N59" s="23">
        <v>0.48209043592409878</v>
      </c>
      <c r="O59" s="23">
        <v>0.66364779400095331</v>
      </c>
      <c r="P59" s="23">
        <v>0.84549926419257138</v>
      </c>
      <c r="Q59" s="24">
        <v>1</v>
      </c>
      <c r="R59" s="23">
        <v>0.46975882659795626</v>
      </c>
      <c r="S59" s="23">
        <v>0.50310563589442192</v>
      </c>
      <c r="T59" s="19">
        <v>4.6542975581168648E-2</v>
      </c>
      <c r="U59" s="23">
        <v>0.91237975757648271</v>
      </c>
      <c r="V59" s="19">
        <v>-5.7569158443834943E-2</v>
      </c>
      <c r="W59" s="23">
        <v>0.49681221743927628</v>
      </c>
      <c r="X59" s="23">
        <v>0.40140436354577719</v>
      </c>
      <c r="Y59" s="23">
        <v>0.41627675429987265</v>
      </c>
    </row>
    <row r="60" spans="2:25" x14ac:dyDescent="0.3">
      <c r="B60" s="4" t="s">
        <v>19</v>
      </c>
      <c r="C60" s="23">
        <v>0.43020314499539425</v>
      </c>
      <c r="D60" s="23">
        <v>0.91646196603659213</v>
      </c>
      <c r="E60" s="19">
        <v>0.15737342538335378</v>
      </c>
      <c r="F60" s="19">
        <v>0.12789677999092658</v>
      </c>
      <c r="G60" s="19">
        <v>0.12454210940821145</v>
      </c>
      <c r="H60" s="19">
        <v>-0.16387499590971305</v>
      </c>
      <c r="I60" s="23">
        <v>0.31366280321321127</v>
      </c>
      <c r="J60" s="23">
        <v>0.53055918042297134</v>
      </c>
      <c r="K60" s="23">
        <v>0.74243290666180539</v>
      </c>
      <c r="L60" s="23">
        <v>0.19790378364427377</v>
      </c>
      <c r="M60" s="19">
        <v>-0.17728814585725231</v>
      </c>
      <c r="N60" s="23">
        <v>0.4562116270097708</v>
      </c>
      <c r="O60" s="23">
        <v>0.27461266618602082</v>
      </c>
      <c r="P60" s="23">
        <v>0.60204296417435321</v>
      </c>
      <c r="Q60" s="23">
        <v>0.46975882659795626</v>
      </c>
      <c r="R60" s="24">
        <v>1</v>
      </c>
      <c r="S60" s="23">
        <v>0.19858979521399989</v>
      </c>
      <c r="T60" s="23">
        <v>0.52852114489101665</v>
      </c>
      <c r="U60" s="23">
        <v>0.72707716431220937</v>
      </c>
      <c r="V60" s="19">
        <v>-8.5048796162387599E-2</v>
      </c>
      <c r="W60" s="23">
        <v>0.88933880161802403</v>
      </c>
      <c r="X60" s="23">
        <v>0.83281656608299492</v>
      </c>
      <c r="Y60" s="23">
        <v>0.89913019280061146</v>
      </c>
    </row>
    <row r="61" spans="2:25" x14ac:dyDescent="0.3">
      <c r="B61" s="4" t="s">
        <v>20</v>
      </c>
      <c r="C61" s="19">
        <v>1.0517272974386701E-2</v>
      </c>
      <c r="D61" s="19">
        <v>0.14380585462002521</v>
      </c>
      <c r="E61" s="19">
        <v>-0.10499716445008077</v>
      </c>
      <c r="F61" s="23">
        <v>0.22037391665649825</v>
      </c>
      <c r="G61" s="19">
        <v>0.19503707427249234</v>
      </c>
      <c r="H61" s="19">
        <v>0.15692719371723865</v>
      </c>
      <c r="I61" s="19">
        <v>-0.11545893393344331</v>
      </c>
      <c r="J61" s="23">
        <v>0.54371748690100019</v>
      </c>
      <c r="K61" s="19">
        <v>0.18784305249825781</v>
      </c>
      <c r="L61" s="19">
        <v>3.3639547131212838E-2</v>
      </c>
      <c r="M61" s="19">
        <v>-4.1896065160907318E-2</v>
      </c>
      <c r="N61" s="19">
        <v>1.8004087877120812E-2</v>
      </c>
      <c r="O61" s="23">
        <v>0.8792740876586248</v>
      </c>
      <c r="P61" s="19">
        <v>0.17954552081538622</v>
      </c>
      <c r="Q61" s="23">
        <v>0.50310563589442192</v>
      </c>
      <c r="R61" s="23">
        <v>0.19858979521399989</v>
      </c>
      <c r="S61" s="24">
        <v>1</v>
      </c>
      <c r="T61" s="19">
        <v>5.9601453945392895E-2</v>
      </c>
      <c r="U61" s="23">
        <v>0.50055816592712721</v>
      </c>
      <c r="V61" s="23">
        <v>0.22829057107887427</v>
      </c>
      <c r="W61" s="19">
        <v>0.12084064351633807</v>
      </c>
      <c r="X61" s="19">
        <v>0.12723454081148222</v>
      </c>
      <c r="Y61" s="23">
        <v>0.2397224729029874</v>
      </c>
    </row>
    <row r="62" spans="2:25" x14ac:dyDescent="0.3">
      <c r="B62" s="4" t="s">
        <v>21</v>
      </c>
      <c r="C62" s="23">
        <v>0.40462657869462582</v>
      </c>
      <c r="D62" s="23">
        <v>0.55118727961585856</v>
      </c>
      <c r="E62" s="23">
        <v>0.23552710676163063</v>
      </c>
      <c r="F62" s="19">
        <v>0.13552663630806061</v>
      </c>
      <c r="G62" s="19">
        <v>7.6632842407765522E-2</v>
      </c>
      <c r="H62" s="19">
        <v>4.2656121187226455E-2</v>
      </c>
      <c r="I62" s="19">
        <v>0.13250920892792842</v>
      </c>
      <c r="J62" s="23">
        <v>0.22258423488209442</v>
      </c>
      <c r="K62" s="23">
        <v>0.32253430473635258</v>
      </c>
      <c r="L62" s="19">
        <v>-7.9404807786805975E-2</v>
      </c>
      <c r="M62" s="19">
        <v>-0.15962536234709496</v>
      </c>
      <c r="N62" s="23">
        <v>0.23579510269309861</v>
      </c>
      <c r="O62" s="19">
        <v>-1.3513135520869832E-2</v>
      </c>
      <c r="P62" s="23">
        <v>0.31975280790398553</v>
      </c>
      <c r="Q62" s="19">
        <v>4.6542975581168648E-2</v>
      </c>
      <c r="R62" s="23">
        <v>0.52852114489101665</v>
      </c>
      <c r="S62" s="19">
        <v>5.9601453945392895E-2</v>
      </c>
      <c r="T62" s="24">
        <v>1</v>
      </c>
      <c r="U62" s="23">
        <v>0.26276894221365754</v>
      </c>
      <c r="V62" s="23">
        <v>0.31613912084651896</v>
      </c>
      <c r="W62" s="23">
        <v>0.56707066756231472</v>
      </c>
      <c r="X62" s="23">
        <v>0.5015098199804362</v>
      </c>
      <c r="Y62" s="23">
        <v>0.5288720428279714</v>
      </c>
    </row>
    <row r="63" spans="2:25" x14ac:dyDescent="0.3">
      <c r="B63" s="4" t="s">
        <v>22</v>
      </c>
      <c r="C63" s="23">
        <v>0.22459463404236843</v>
      </c>
      <c r="D63" s="23">
        <v>0.6611606258759728</v>
      </c>
      <c r="E63" s="19">
        <v>-0.12987099322539403</v>
      </c>
      <c r="F63" s="23">
        <v>0.52542744545596243</v>
      </c>
      <c r="G63" s="23">
        <v>0.41292654435436577</v>
      </c>
      <c r="H63" s="19">
        <v>-6.3711939353466793E-2</v>
      </c>
      <c r="I63" s="19">
        <v>0.13629570258258825</v>
      </c>
      <c r="J63" s="23">
        <v>0.828852261008031</v>
      </c>
      <c r="K63" s="23">
        <v>0.81419794880796825</v>
      </c>
      <c r="L63" s="23">
        <v>0.56778373055773934</v>
      </c>
      <c r="M63" s="23">
        <v>-0.22162422878364921</v>
      </c>
      <c r="N63" s="23">
        <v>0.51121794720871239</v>
      </c>
      <c r="O63" s="23">
        <v>0.62334725922679612</v>
      </c>
      <c r="P63" s="23">
        <v>0.86110860771817166</v>
      </c>
      <c r="Q63" s="23">
        <v>0.91237975757648271</v>
      </c>
      <c r="R63" s="23">
        <v>0.72707716431220937</v>
      </c>
      <c r="S63" s="23">
        <v>0.50055816592712721</v>
      </c>
      <c r="T63" s="23">
        <v>0.26276894221365754</v>
      </c>
      <c r="U63" s="24">
        <v>1</v>
      </c>
      <c r="V63" s="19">
        <v>-6.6206989601812608E-2</v>
      </c>
      <c r="W63" s="23">
        <v>0.72804335036075185</v>
      </c>
      <c r="X63" s="23">
        <v>0.62047088202660972</v>
      </c>
      <c r="Y63" s="23">
        <v>0.661736918987608</v>
      </c>
    </row>
    <row r="64" spans="2:25" x14ac:dyDescent="0.3">
      <c r="B64" s="4" t="s">
        <v>23</v>
      </c>
      <c r="C64" s="23">
        <v>0.22988258244087131</v>
      </c>
      <c r="D64" s="19">
        <v>-6.5264246935699988E-2</v>
      </c>
      <c r="E64" s="19">
        <v>0.11425413346604192</v>
      </c>
      <c r="F64" s="23">
        <v>0.46274324808728856</v>
      </c>
      <c r="G64" s="23">
        <v>0.47880976136817299</v>
      </c>
      <c r="H64" s="19">
        <v>0.16557870588364867</v>
      </c>
      <c r="I64" s="19">
        <v>-0.16794152707325685</v>
      </c>
      <c r="J64" s="19">
        <v>-8.1087369672447243E-2</v>
      </c>
      <c r="K64" s="19">
        <v>-8.8795989062647726E-2</v>
      </c>
      <c r="L64" s="19">
        <v>-6.8303505550854474E-2</v>
      </c>
      <c r="M64" s="19">
        <v>0.1493078904960666</v>
      </c>
      <c r="N64" s="19">
        <v>-5.1056294802778991E-2</v>
      </c>
      <c r="O64" s="19">
        <v>-7.336298578310417E-2</v>
      </c>
      <c r="P64" s="19">
        <v>-4.1009938130751558E-2</v>
      </c>
      <c r="Q64" s="19">
        <v>-5.7569158443834943E-2</v>
      </c>
      <c r="R64" s="19">
        <v>-8.5048796162387599E-2</v>
      </c>
      <c r="S64" s="23">
        <v>0.22829057107887427</v>
      </c>
      <c r="T64" s="23">
        <v>0.31613912084651896</v>
      </c>
      <c r="U64" s="19">
        <v>-6.6206989601812608E-2</v>
      </c>
      <c r="V64" s="24">
        <v>1</v>
      </c>
      <c r="W64" s="19">
        <v>1.8629851022420537E-2</v>
      </c>
      <c r="X64" s="19">
        <v>-4.407319575444877E-2</v>
      </c>
      <c r="Y64" s="19">
        <v>-4.3677098976733969E-2</v>
      </c>
    </row>
    <row r="65" spans="2:25" x14ac:dyDescent="0.3">
      <c r="B65" s="4" t="s">
        <v>24</v>
      </c>
      <c r="C65" s="23">
        <v>0.45574646057664187</v>
      </c>
      <c r="D65" s="23">
        <v>0.90686242621756163</v>
      </c>
      <c r="E65" s="19">
        <v>0.11563878239862946</v>
      </c>
      <c r="F65" s="23">
        <v>0.33885627627731429</v>
      </c>
      <c r="G65" s="23">
        <v>0.21738312167334947</v>
      </c>
      <c r="H65" s="19">
        <v>-0.15476600724037543</v>
      </c>
      <c r="I65" s="23">
        <v>0.24240146737327334</v>
      </c>
      <c r="J65" s="23">
        <v>0.555565619733421</v>
      </c>
      <c r="K65" s="23">
        <v>0.79726104131245112</v>
      </c>
      <c r="L65" s="23">
        <v>0.3561312588238319</v>
      </c>
      <c r="M65" s="19">
        <v>-0.19738821114057759</v>
      </c>
      <c r="N65" s="23">
        <v>0.52151062241628787</v>
      </c>
      <c r="O65" s="19">
        <v>0.1953465532441839</v>
      </c>
      <c r="P65" s="23">
        <v>0.74140860623870164</v>
      </c>
      <c r="Q65" s="23">
        <v>0.49681221743927628</v>
      </c>
      <c r="R65" s="23">
        <v>0.88933880161802403</v>
      </c>
      <c r="S65" s="19">
        <v>0.12084064351633807</v>
      </c>
      <c r="T65" s="23">
        <v>0.56707066756231472</v>
      </c>
      <c r="U65" s="23">
        <v>0.72804335036075185</v>
      </c>
      <c r="V65" s="19">
        <v>1.8629851022420537E-2</v>
      </c>
      <c r="W65" s="24">
        <v>1</v>
      </c>
      <c r="X65" s="23">
        <v>0.8369317638994116</v>
      </c>
      <c r="Y65" s="23">
        <v>0.87887517378111546</v>
      </c>
    </row>
    <row r="66" spans="2:25" x14ac:dyDescent="0.3">
      <c r="B66" s="4" t="s">
        <v>25</v>
      </c>
      <c r="C66" s="23">
        <v>0.4094954086999304</v>
      </c>
      <c r="D66" s="23">
        <v>0.90564515615653784</v>
      </c>
      <c r="E66" s="19">
        <v>0.11642130136056232</v>
      </c>
      <c r="F66" s="19">
        <v>0.1894967621555414</v>
      </c>
      <c r="G66" s="19">
        <v>5.6650101508043386E-2</v>
      </c>
      <c r="H66" s="19">
        <v>-0.17832883513617614</v>
      </c>
      <c r="I66" s="23">
        <v>0.26184045961713626</v>
      </c>
      <c r="J66" s="23">
        <v>0.54191642231716508</v>
      </c>
      <c r="K66" s="23">
        <v>0.75661782968034363</v>
      </c>
      <c r="L66" s="19">
        <v>0.16495016054158085</v>
      </c>
      <c r="M66" s="19">
        <v>-0.18341476200529899</v>
      </c>
      <c r="N66" s="23">
        <v>0.57139282757950671</v>
      </c>
      <c r="O66" s="23">
        <v>0.22994432017721056</v>
      </c>
      <c r="P66" s="23">
        <v>0.64160301551309284</v>
      </c>
      <c r="Q66" s="23">
        <v>0.40140436354577719</v>
      </c>
      <c r="R66" s="23">
        <v>0.83281656608299492</v>
      </c>
      <c r="S66" s="19">
        <v>0.12723454081148222</v>
      </c>
      <c r="T66" s="23">
        <v>0.5015098199804362</v>
      </c>
      <c r="U66" s="23">
        <v>0.62047088202660972</v>
      </c>
      <c r="V66" s="19">
        <v>-4.407319575444877E-2</v>
      </c>
      <c r="W66" s="23">
        <v>0.8369317638994116</v>
      </c>
      <c r="X66" s="24">
        <v>1</v>
      </c>
      <c r="Y66" s="23">
        <v>0.88368679587850396</v>
      </c>
    </row>
    <row r="67" spans="2:25" ht="15" thickBot="1" x14ac:dyDescent="0.35">
      <c r="B67" s="17" t="s">
        <v>26</v>
      </c>
      <c r="C67" s="25">
        <v>0.44554229867316614</v>
      </c>
      <c r="D67" s="25">
        <v>0.94350546843451499</v>
      </c>
      <c r="E67" s="20">
        <v>0.17580264534820084</v>
      </c>
      <c r="F67" s="20">
        <v>0.10051017431072658</v>
      </c>
      <c r="G67" s="20">
        <v>2.4337857400208232E-2</v>
      </c>
      <c r="H67" s="20">
        <v>-0.17064176905218786</v>
      </c>
      <c r="I67" s="25">
        <v>0.28307119812225107</v>
      </c>
      <c r="J67" s="25">
        <v>0.58111969031868682</v>
      </c>
      <c r="K67" s="25">
        <v>0.7980250797109627</v>
      </c>
      <c r="L67" s="20">
        <v>0.15200994124787892</v>
      </c>
      <c r="M67" s="20">
        <v>-0.18736758773467627</v>
      </c>
      <c r="N67" s="25">
        <v>0.53189787333131433</v>
      </c>
      <c r="O67" s="25">
        <v>0.31837640040821075</v>
      </c>
      <c r="P67" s="25">
        <v>0.60725837340931166</v>
      </c>
      <c r="Q67" s="25">
        <v>0.41627675429987265</v>
      </c>
      <c r="R67" s="25">
        <v>0.89913019280061146</v>
      </c>
      <c r="S67" s="25">
        <v>0.2397224729029874</v>
      </c>
      <c r="T67" s="25">
        <v>0.5288720428279714</v>
      </c>
      <c r="U67" s="25">
        <v>0.661736918987608</v>
      </c>
      <c r="V67" s="20">
        <v>-4.3677098976733969E-2</v>
      </c>
      <c r="W67" s="25">
        <v>0.87887517378111546</v>
      </c>
      <c r="X67" s="25">
        <v>0.88368679587850396</v>
      </c>
      <c r="Y67" s="26">
        <v>1</v>
      </c>
    </row>
    <row r="68" spans="2:25" x14ac:dyDescent="0.3">
      <c r="B68" s="27" t="s">
        <v>343</v>
      </c>
    </row>
    <row r="71" spans="2:25" x14ac:dyDescent="0.3">
      <c r="B71" s="3" t="s">
        <v>344</v>
      </c>
    </row>
    <row r="73" spans="2:25" x14ac:dyDescent="0.3">
      <c r="B73" t="s">
        <v>345</v>
      </c>
    </row>
    <row r="74" spans="2:25" ht="15" thickBot="1" x14ac:dyDescent="0.35"/>
    <row r="75" spans="2:25" x14ac:dyDescent="0.3">
      <c r="B75" s="6"/>
      <c r="C75" s="7" t="s">
        <v>346</v>
      </c>
      <c r="D75" s="7" t="s">
        <v>347</v>
      </c>
      <c r="E75" s="7" t="s">
        <v>348</v>
      </c>
      <c r="F75" s="7" t="s">
        <v>349</v>
      </c>
      <c r="G75" s="7" t="s">
        <v>350</v>
      </c>
      <c r="H75" s="7" t="s">
        <v>351</v>
      </c>
      <c r="I75" s="7" t="s">
        <v>352</v>
      </c>
      <c r="J75" s="7" t="s">
        <v>353</v>
      </c>
      <c r="K75" s="7" t="s">
        <v>354</v>
      </c>
      <c r="L75" s="7" t="s">
        <v>355</v>
      </c>
      <c r="M75" s="7" t="s">
        <v>356</v>
      </c>
      <c r="N75" s="7" t="s">
        <v>357</v>
      </c>
      <c r="O75" s="7" t="s">
        <v>358</v>
      </c>
      <c r="P75" s="7" t="s">
        <v>359</v>
      </c>
      <c r="Q75" s="7" t="s">
        <v>360</v>
      </c>
      <c r="R75" s="7" t="s">
        <v>361</v>
      </c>
      <c r="S75" s="7" t="s">
        <v>362</v>
      </c>
      <c r="T75" s="7" t="s">
        <v>363</v>
      </c>
      <c r="U75" s="7" t="s">
        <v>364</v>
      </c>
      <c r="V75" s="7" t="s">
        <v>365</v>
      </c>
      <c r="W75" s="7" t="s">
        <v>366</v>
      </c>
      <c r="X75" s="7" t="s">
        <v>367</v>
      </c>
      <c r="Y75" s="7" t="s">
        <v>368</v>
      </c>
    </row>
    <row r="76" spans="2:25" x14ac:dyDescent="0.3">
      <c r="B76" s="16" t="s">
        <v>369</v>
      </c>
      <c r="C76" s="18">
        <v>9.3111533651157856</v>
      </c>
      <c r="D76" s="18">
        <v>3.873740576695305</v>
      </c>
      <c r="E76" s="18">
        <v>2.5728918034889339</v>
      </c>
      <c r="F76" s="18">
        <v>1.9501098736681823</v>
      </c>
      <c r="G76" s="18">
        <v>1.6800400499179153</v>
      </c>
      <c r="H76" s="18">
        <v>0.89674381248559376</v>
      </c>
      <c r="I76" s="18">
        <v>0.68466632869620525</v>
      </c>
      <c r="J76" s="18">
        <v>0.45822211329049878</v>
      </c>
      <c r="K76" s="18">
        <v>0.32419884632881441</v>
      </c>
      <c r="L76" s="18">
        <v>0.28803768242112737</v>
      </c>
      <c r="M76" s="18">
        <v>0.23111669781001087</v>
      </c>
      <c r="N76" s="18">
        <v>0.16700592328589439</v>
      </c>
      <c r="O76" s="18">
        <v>0.13585820342109886</v>
      </c>
      <c r="P76" s="18">
        <v>0.12455860204563167</v>
      </c>
      <c r="Q76" s="18">
        <v>8.4072749424327686E-2</v>
      </c>
      <c r="R76" s="18">
        <v>6.9928853180730555E-2</v>
      </c>
      <c r="S76" s="18">
        <v>4.370767037280289E-2</v>
      </c>
      <c r="T76" s="18">
        <v>3.0881928006413008E-2</v>
      </c>
      <c r="U76" s="18">
        <v>2.8625895625976838E-2</v>
      </c>
      <c r="V76" s="18">
        <v>1.8454168726515487E-2</v>
      </c>
      <c r="W76" s="18">
        <v>1.5142074828655351E-2</v>
      </c>
      <c r="X76" s="18">
        <v>1.0839743429183394E-2</v>
      </c>
      <c r="Y76" s="18">
        <v>3.0377344010621124E-6</v>
      </c>
    </row>
    <row r="77" spans="2:25" x14ac:dyDescent="0.3">
      <c r="B77" s="4" t="s">
        <v>370</v>
      </c>
      <c r="C77" s="19">
        <v>40.483275500503403</v>
      </c>
      <c r="D77" s="19">
        <v>16.842350333457844</v>
      </c>
      <c r="E77" s="19">
        <v>11.186486102125796</v>
      </c>
      <c r="F77" s="19">
        <v>8.4787385811660076</v>
      </c>
      <c r="G77" s="19">
        <v>7.3045219561648471</v>
      </c>
      <c r="H77" s="19">
        <v>3.8988861412417108</v>
      </c>
      <c r="I77" s="19">
        <v>2.976810124766109</v>
      </c>
      <c r="J77" s="19">
        <v>1.9922700577847767</v>
      </c>
      <c r="K77" s="19">
        <v>1.4095602014296273</v>
      </c>
      <c r="L77" s="19">
        <v>1.2523377496570751</v>
      </c>
      <c r="M77" s="19">
        <v>1.0048552078696122</v>
      </c>
      <c r="N77" s="19">
        <v>0.72611270993867105</v>
      </c>
      <c r="O77" s="19">
        <v>0.59068784096129923</v>
      </c>
      <c r="P77" s="19">
        <v>0.54155913932883315</v>
      </c>
      <c r="Q77" s="19">
        <v>0.36553369314925072</v>
      </c>
      <c r="R77" s="19">
        <v>0.30403849209013278</v>
      </c>
      <c r="S77" s="19">
        <v>0.19003334944696904</v>
      </c>
      <c r="T77" s="19">
        <v>0.13426925220179564</v>
      </c>
      <c r="U77" s="19">
        <v>0.12446041576511666</v>
      </c>
      <c r="V77" s="19">
        <v>8.0235516202241217E-2</v>
      </c>
      <c r="W77" s="19">
        <v>6.5835107950675417E-2</v>
      </c>
      <c r="X77" s="19">
        <v>4.7129319257319092E-2</v>
      </c>
      <c r="Y77" s="19">
        <v>1.3207540874183094E-5</v>
      </c>
    </row>
    <row r="78" spans="2:25" ht="15" thickBot="1" x14ac:dyDescent="0.35">
      <c r="B78" s="17" t="s">
        <v>371</v>
      </c>
      <c r="C78" s="20">
        <v>40.483275500503403</v>
      </c>
      <c r="D78" s="20">
        <v>57.325625833961247</v>
      </c>
      <c r="E78" s="20">
        <v>68.512111936087038</v>
      </c>
      <c r="F78" s="20">
        <v>76.990850517253051</v>
      </c>
      <c r="G78" s="20">
        <v>84.295372473417899</v>
      </c>
      <c r="H78" s="20">
        <v>88.194258614659617</v>
      </c>
      <c r="I78" s="20">
        <v>91.171068739425721</v>
      </c>
      <c r="J78" s="20">
        <v>93.1633387972105</v>
      </c>
      <c r="K78" s="20">
        <v>94.572898998640127</v>
      </c>
      <c r="L78" s="20">
        <v>95.825236748297201</v>
      </c>
      <c r="M78" s="20">
        <v>96.830091956166811</v>
      </c>
      <c r="N78" s="20">
        <v>97.556204666105486</v>
      </c>
      <c r="O78" s="20">
        <v>98.146892507066781</v>
      </c>
      <c r="P78" s="20">
        <v>98.68845164639562</v>
      </c>
      <c r="Q78" s="20">
        <v>99.053985339544866</v>
      </c>
      <c r="R78" s="20">
        <v>99.358023831634995</v>
      </c>
      <c r="S78" s="20">
        <v>99.548057181081958</v>
      </c>
      <c r="T78" s="20">
        <v>99.682326433283748</v>
      </c>
      <c r="U78" s="20">
        <v>99.806786849048862</v>
      </c>
      <c r="V78" s="20">
        <v>99.887022365251099</v>
      </c>
      <c r="W78" s="20">
        <v>99.952857473201774</v>
      </c>
      <c r="X78" s="20">
        <v>99.999986792459097</v>
      </c>
      <c r="Y78" s="20">
        <v>99.999999999999972</v>
      </c>
    </row>
    <row r="98" spans="2:7" x14ac:dyDescent="0.3">
      <c r="G98" t="s">
        <v>372</v>
      </c>
    </row>
    <row r="101" spans="2:7" x14ac:dyDescent="0.3">
      <c r="B101" t="s">
        <v>373</v>
      </c>
    </row>
    <row r="102" spans="2:7" ht="15" thickBot="1" x14ac:dyDescent="0.35"/>
    <row r="103" spans="2:7" x14ac:dyDescent="0.3">
      <c r="B103" s="6"/>
      <c r="C103" s="7" t="s">
        <v>346</v>
      </c>
      <c r="D103" s="7" t="s">
        <v>347</v>
      </c>
      <c r="E103" s="7" t="s">
        <v>348</v>
      </c>
      <c r="F103" s="7" t="s">
        <v>349</v>
      </c>
      <c r="G103" s="7" t="s">
        <v>350</v>
      </c>
    </row>
    <row r="104" spans="2:7" x14ac:dyDescent="0.3">
      <c r="B104" s="16" t="s">
        <v>4</v>
      </c>
      <c r="C104" s="18">
        <v>0.13696656518116715</v>
      </c>
      <c r="D104" s="18">
        <v>0.38300575926704761</v>
      </c>
      <c r="E104" s="18">
        <v>0.29737321157067453</v>
      </c>
      <c r="F104" s="18">
        <v>2.0176643219293997E-2</v>
      </c>
      <c r="G104" s="18">
        <v>6.1013112422401298E-3</v>
      </c>
    </row>
    <row r="105" spans="2:7" x14ac:dyDescent="0.3">
      <c r="B105" s="4" t="s">
        <v>5</v>
      </c>
      <c r="C105" s="19">
        <v>0.28056131844176724</v>
      </c>
      <c r="D105" s="19">
        <v>0.15816908950269828</v>
      </c>
      <c r="E105" s="19">
        <v>-0.18669301866329843</v>
      </c>
      <c r="F105" s="19">
        <v>-8.8620767953187338E-2</v>
      </c>
      <c r="G105" s="19">
        <v>7.9063167550296215E-2</v>
      </c>
    </row>
    <row r="106" spans="2:7" x14ac:dyDescent="0.3">
      <c r="B106" s="4" t="s">
        <v>6</v>
      </c>
      <c r="C106" s="19">
        <v>1.3744103141188922E-2</v>
      </c>
      <c r="D106" s="19">
        <v>0.44660328149873629</v>
      </c>
      <c r="E106" s="19">
        <v>0.24856890587393232</v>
      </c>
      <c r="F106" s="19">
        <v>0.13757714944720834</v>
      </c>
      <c r="G106" s="19">
        <v>-7.7894874891123352E-3</v>
      </c>
    </row>
    <row r="107" spans="2:7" x14ac:dyDescent="0.3">
      <c r="B107" s="4" t="s">
        <v>7</v>
      </c>
      <c r="C107" s="19">
        <v>0.15635838607289795</v>
      </c>
      <c r="D107" s="19">
        <v>-0.20329717401195499</v>
      </c>
      <c r="E107" s="19">
        <v>0.3978656428592367</v>
      </c>
      <c r="F107" s="19">
        <v>-0.25175693409411215</v>
      </c>
      <c r="G107" s="19">
        <v>-2.4641451849502668E-2</v>
      </c>
    </row>
    <row r="108" spans="2:7" x14ac:dyDescent="0.3">
      <c r="B108" s="4" t="s">
        <v>8</v>
      </c>
      <c r="C108" s="19">
        <v>0.11521365905621901</v>
      </c>
      <c r="D108" s="19">
        <v>-0.18169471259261311</v>
      </c>
      <c r="E108" s="19">
        <v>0.42798672827265166</v>
      </c>
      <c r="F108" s="19">
        <v>-0.24968118095122455</v>
      </c>
      <c r="G108" s="19">
        <v>-2.6045921631582709E-3</v>
      </c>
    </row>
    <row r="109" spans="2:7" x14ac:dyDescent="0.3">
      <c r="B109" s="4" t="s">
        <v>9</v>
      </c>
      <c r="C109" s="19">
        <v>-4.7514524034925822E-2</v>
      </c>
      <c r="D109" s="19">
        <v>-0.13111470788443499</v>
      </c>
      <c r="E109" s="19">
        <v>3.4217824886728906E-2</v>
      </c>
      <c r="F109" s="19">
        <v>-7.7069326969584281E-2</v>
      </c>
      <c r="G109" s="19">
        <v>0.2900419978426565</v>
      </c>
    </row>
    <row r="110" spans="2:7" x14ac:dyDescent="0.3">
      <c r="B110" s="4" t="s">
        <v>10</v>
      </c>
      <c r="C110" s="19">
        <v>7.9049844000773348E-2</v>
      </c>
      <c r="D110" s="19">
        <v>0.3721595133150381</v>
      </c>
      <c r="E110" s="19">
        <v>0.13790596251666248</v>
      </c>
      <c r="F110" s="19">
        <v>0.20766045433262936</v>
      </c>
      <c r="G110" s="19">
        <v>-0.20024585143171272</v>
      </c>
    </row>
    <row r="111" spans="2:7" x14ac:dyDescent="0.3">
      <c r="B111" s="4" t="s">
        <v>11</v>
      </c>
      <c r="C111" s="19">
        <v>0.27175341743706521</v>
      </c>
      <c r="D111" s="19">
        <v>-0.13809486223449768</v>
      </c>
      <c r="E111" s="19">
        <v>1.4793465090665699E-2</v>
      </c>
      <c r="F111" s="19">
        <v>0.24565727479769789</v>
      </c>
      <c r="G111" s="19">
        <v>-1.7624081931359179E-3</v>
      </c>
    </row>
    <row r="112" spans="2:7" x14ac:dyDescent="0.3">
      <c r="B112" s="4" t="s">
        <v>12</v>
      </c>
      <c r="C112" s="19">
        <v>0.29747789227757093</v>
      </c>
      <c r="D112" s="19">
        <v>1.8083633709983988E-4</v>
      </c>
      <c r="E112" s="19">
        <v>-4.9448975615990223E-2</v>
      </c>
      <c r="F112" s="19">
        <v>-3.8551587264580779E-2</v>
      </c>
      <c r="G112" s="19">
        <v>-0.1136221366940227</v>
      </c>
    </row>
    <row r="113" spans="2:7" x14ac:dyDescent="0.3">
      <c r="B113" s="4" t="s">
        <v>13</v>
      </c>
      <c r="C113" s="19">
        <v>0.16024660093837872</v>
      </c>
      <c r="D113" s="19">
        <v>-0.22449495851655382</v>
      </c>
      <c r="E113" s="19">
        <v>0.14535888651981302</v>
      </c>
      <c r="F113" s="19">
        <v>-0.13478159349385052</v>
      </c>
      <c r="G113" s="19">
        <v>-0.38470565370633653</v>
      </c>
    </row>
    <row r="114" spans="2:7" x14ac:dyDescent="0.3">
      <c r="B114" s="4" t="s">
        <v>14</v>
      </c>
      <c r="C114" s="19">
        <v>-6.3472057783166266E-2</v>
      </c>
      <c r="D114" s="19">
        <v>0.29133526281181138</v>
      </c>
      <c r="E114" s="19">
        <v>0.40442958336063844</v>
      </c>
      <c r="F114" s="19">
        <v>0.20645781763898452</v>
      </c>
      <c r="G114" s="19">
        <v>-0.1074843884335599</v>
      </c>
    </row>
    <row r="115" spans="2:7" x14ac:dyDescent="0.3">
      <c r="B115" s="4" t="s">
        <v>15</v>
      </c>
      <c r="C115" s="19">
        <v>0.22154180647834221</v>
      </c>
      <c r="D115" s="19">
        <v>9.7795593328662399E-3</v>
      </c>
      <c r="E115" s="19">
        <v>-5.9988365155207925E-2</v>
      </c>
      <c r="F115" s="19">
        <v>-3.9512061416078804E-2</v>
      </c>
      <c r="G115" s="19">
        <v>-0.18820629392855825</v>
      </c>
    </row>
    <row r="116" spans="2:7" x14ac:dyDescent="0.3">
      <c r="B116" s="4" t="s">
        <v>16</v>
      </c>
      <c r="C116" s="19">
        <v>0.16399412685051226</v>
      </c>
      <c r="D116" s="19">
        <v>-0.18267956681564573</v>
      </c>
      <c r="E116" s="19">
        <v>4.1610805835093731E-2</v>
      </c>
      <c r="F116" s="19">
        <v>0.50933793851432063</v>
      </c>
      <c r="G116" s="19">
        <v>0.20216609481575518</v>
      </c>
    </row>
    <row r="117" spans="2:7" x14ac:dyDescent="0.3">
      <c r="B117" s="4" t="s">
        <v>17</v>
      </c>
      <c r="C117" s="19">
        <v>0.29422148618141319</v>
      </c>
      <c r="D117" s="19">
        <v>-9.6902746389795028E-2</v>
      </c>
      <c r="E117" s="19">
        <v>4.4743335734718379E-2</v>
      </c>
      <c r="F117" s="19">
        <v>-6.8898806578808369E-2</v>
      </c>
      <c r="G117" s="19">
        <v>-0.1834135063867729</v>
      </c>
    </row>
    <row r="118" spans="2:7" x14ac:dyDescent="0.3">
      <c r="B118" s="4" t="s">
        <v>18</v>
      </c>
      <c r="C118" s="19">
        <v>0.25732638837331395</v>
      </c>
      <c r="D118" s="19">
        <v>-0.22109330879090244</v>
      </c>
      <c r="E118" s="19">
        <v>0.13594202861780855</v>
      </c>
      <c r="F118" s="19">
        <v>0.17286003173277542</v>
      </c>
      <c r="G118" s="19">
        <v>-0.1241150831132352</v>
      </c>
    </row>
    <row r="119" spans="2:7" x14ac:dyDescent="0.3">
      <c r="B119" s="4" t="s">
        <v>19</v>
      </c>
      <c r="C119" s="19">
        <v>0.27539349764462867</v>
      </c>
      <c r="D119" s="19">
        <v>0.14320545557968689</v>
      </c>
      <c r="E119" s="19">
        <v>-0.15168458982283356</v>
      </c>
      <c r="F119" s="19">
        <v>-4.2802049482060289E-2</v>
      </c>
      <c r="G119" s="19">
        <v>9.3916938734034935E-2</v>
      </c>
    </row>
    <row r="120" spans="2:7" x14ac:dyDescent="0.3">
      <c r="B120" s="4" t="s">
        <v>20</v>
      </c>
      <c r="C120" s="19">
        <v>0.11705371608405779</v>
      </c>
      <c r="D120" s="19">
        <v>-0.17629653886131841</v>
      </c>
      <c r="E120" s="19">
        <v>0.12988926199292852</v>
      </c>
      <c r="F120" s="19">
        <v>0.41596817410773373</v>
      </c>
      <c r="G120" s="19">
        <v>0.43937854284738342</v>
      </c>
    </row>
    <row r="121" spans="2:7" x14ac:dyDescent="0.3">
      <c r="B121" s="4" t="s">
        <v>21</v>
      </c>
      <c r="C121" s="19">
        <v>0.1491621257033843</v>
      </c>
      <c r="D121" s="19">
        <v>0.1725339098231165</v>
      </c>
      <c r="E121" s="19">
        <v>-4.9470507070571414E-2</v>
      </c>
      <c r="F121" s="19">
        <v>-0.27309240340863861</v>
      </c>
      <c r="G121" s="19">
        <v>0.38459558818606182</v>
      </c>
    </row>
    <row r="122" spans="2:7" x14ac:dyDescent="0.3">
      <c r="B122" s="4" t="s">
        <v>22</v>
      </c>
      <c r="C122" s="19">
        <v>0.30004186825050094</v>
      </c>
      <c r="D122" s="19">
        <v>-0.12520027832122069</v>
      </c>
      <c r="E122" s="19">
        <v>4.2642463716372432E-2</v>
      </c>
      <c r="F122" s="19">
        <v>0.10749948337368599</v>
      </c>
      <c r="G122" s="19">
        <v>-2.4831263707052249E-2</v>
      </c>
    </row>
    <row r="123" spans="2:7" x14ac:dyDescent="0.3">
      <c r="B123" s="4" t="s">
        <v>23</v>
      </c>
      <c r="C123" s="19">
        <v>1.6857332735066926E-3</v>
      </c>
      <c r="D123" s="19">
        <v>-1.3030725383864733E-2</v>
      </c>
      <c r="E123" s="19">
        <v>0.35741489675832455</v>
      </c>
      <c r="F123" s="19">
        <v>-0.28391281657405382</v>
      </c>
      <c r="G123" s="19">
        <v>0.44368505365478195</v>
      </c>
    </row>
    <row r="124" spans="2:7" x14ac:dyDescent="0.3">
      <c r="B124" s="4" t="s">
        <v>24</v>
      </c>
      <c r="C124" s="19">
        <v>0.28948077978953579</v>
      </c>
      <c r="D124" s="19">
        <v>0.10847432245729895</v>
      </c>
      <c r="E124" s="19">
        <v>-8.8159901629950785E-2</v>
      </c>
      <c r="F124" s="19">
        <v>-0.17202809444068359</v>
      </c>
      <c r="G124" s="19">
        <v>3.8616531056970084E-2</v>
      </c>
    </row>
    <row r="125" spans="2:7" x14ac:dyDescent="0.3">
      <c r="B125" s="4" t="s">
        <v>25</v>
      </c>
      <c r="C125" s="19">
        <v>0.26914463888810958</v>
      </c>
      <c r="D125" s="19">
        <v>0.14098361164431158</v>
      </c>
      <c r="E125" s="19">
        <v>-0.16874846706943344</v>
      </c>
      <c r="F125" s="19">
        <v>-9.094090093729508E-2</v>
      </c>
      <c r="G125" s="19">
        <v>6.8416133132916446E-2</v>
      </c>
    </row>
    <row r="126" spans="2:7" ht="15" thickBot="1" x14ac:dyDescent="0.35">
      <c r="B126" s="17" t="s">
        <v>26</v>
      </c>
      <c r="C126" s="20">
        <v>0.27792240352451503</v>
      </c>
      <c r="D126" s="20">
        <v>0.15449810707624137</v>
      </c>
      <c r="E126" s="20">
        <v>-0.17877972972718534</v>
      </c>
      <c r="F126" s="20">
        <v>-1.7912487252796039E-2</v>
      </c>
      <c r="G126" s="20">
        <v>0.13258750291954854</v>
      </c>
    </row>
    <row r="129" spans="2:7" x14ac:dyDescent="0.3">
      <c r="B129" t="s">
        <v>374</v>
      </c>
    </row>
    <row r="130" spans="2:7" ht="15" thickBot="1" x14ac:dyDescent="0.35"/>
    <row r="131" spans="2:7" x14ac:dyDescent="0.3">
      <c r="B131" s="6"/>
      <c r="C131" s="7" t="s">
        <v>346</v>
      </c>
      <c r="D131" s="7" t="s">
        <v>347</v>
      </c>
      <c r="E131" s="7" t="s">
        <v>348</v>
      </c>
      <c r="F131" s="7" t="s">
        <v>349</v>
      </c>
      <c r="G131" s="7" t="s">
        <v>350</v>
      </c>
    </row>
    <row r="132" spans="2:7" x14ac:dyDescent="0.3">
      <c r="B132" s="16" t="s">
        <v>4</v>
      </c>
      <c r="C132" s="18">
        <v>0.41794227727735717</v>
      </c>
      <c r="D132" s="18">
        <v>0.75382505992550441</v>
      </c>
      <c r="E132" s="18">
        <v>0.47699365809281435</v>
      </c>
      <c r="F132" s="18">
        <v>2.8175942679005635E-2</v>
      </c>
      <c r="G132" s="18">
        <v>7.9082974784508066E-3</v>
      </c>
    </row>
    <row r="133" spans="2:7" x14ac:dyDescent="0.3">
      <c r="B133" s="4" t="s">
        <v>5</v>
      </c>
      <c r="C133" s="19">
        <v>0.85610992865588031</v>
      </c>
      <c r="D133" s="19">
        <v>0.31130556261322589</v>
      </c>
      <c r="E133" s="19">
        <v>-0.29946001336920219</v>
      </c>
      <c r="F133" s="19">
        <v>-0.12375565404411397</v>
      </c>
      <c r="G133" s="19">
        <v>0.10247879902399068</v>
      </c>
    </row>
    <row r="134" spans="2:7" x14ac:dyDescent="0.3">
      <c r="B134" s="4" t="s">
        <v>6</v>
      </c>
      <c r="C134" s="19">
        <v>4.1939007219502118E-2</v>
      </c>
      <c r="D134" s="19">
        <v>0.87899656152161898</v>
      </c>
      <c r="E134" s="19">
        <v>0.39871039854158741</v>
      </c>
      <c r="F134" s="19">
        <v>0.19212144629978603</v>
      </c>
      <c r="G134" s="19">
        <v>-1.0096450061766366E-2</v>
      </c>
    </row>
    <row r="135" spans="2:7" x14ac:dyDescent="0.3">
      <c r="B135" s="4" t="s">
        <v>7</v>
      </c>
      <c r="C135" s="19">
        <v>0.47711483353825546</v>
      </c>
      <c r="D135" s="19">
        <v>-0.40012584843507543</v>
      </c>
      <c r="E135" s="19">
        <v>0.63818589244974089</v>
      </c>
      <c r="F135" s="19">
        <v>-0.3515693302885351</v>
      </c>
      <c r="G135" s="19">
        <v>-3.1939352671875927E-2</v>
      </c>
    </row>
    <row r="136" spans="2:7" x14ac:dyDescent="0.3">
      <c r="B136" s="4" t="s">
        <v>8</v>
      </c>
      <c r="C136" s="19">
        <v>0.3515650624349172</v>
      </c>
      <c r="D136" s="19">
        <v>-0.35760827166250375</v>
      </c>
      <c r="E136" s="19">
        <v>0.68650082519430078</v>
      </c>
      <c r="F136" s="19">
        <v>-0.34867061711141756</v>
      </c>
      <c r="G136" s="19">
        <v>-3.3759775265512692E-3</v>
      </c>
    </row>
    <row r="137" spans="2:7" x14ac:dyDescent="0.3">
      <c r="B137" s="4" t="s">
        <v>9</v>
      </c>
      <c r="C137" s="19">
        <v>-0.1449866860035498</v>
      </c>
      <c r="D137" s="19">
        <v>-0.25805761437437169</v>
      </c>
      <c r="E137" s="19">
        <v>5.4886199663015396E-2</v>
      </c>
      <c r="F137" s="19">
        <v>-0.10762449012965859</v>
      </c>
      <c r="G137" s="19">
        <v>0.37594187693689202</v>
      </c>
    </row>
    <row r="138" spans="2:7" x14ac:dyDescent="0.3">
      <c r="B138" s="4" t="s">
        <v>10</v>
      </c>
      <c r="C138" s="19">
        <v>0.24121413701513919</v>
      </c>
      <c r="D138" s="19">
        <v>0.73247767334733138</v>
      </c>
      <c r="E138" s="19">
        <v>0.22120442250394118</v>
      </c>
      <c r="F138" s="19">
        <v>0.28999021266220149</v>
      </c>
      <c r="G138" s="19">
        <v>-0.25955138151028329</v>
      </c>
    </row>
    <row r="139" spans="2:7" x14ac:dyDescent="0.3">
      <c r="B139" s="4" t="s">
        <v>11</v>
      </c>
      <c r="C139" s="19">
        <v>0.82923333874454297</v>
      </c>
      <c r="D139" s="19">
        <v>-0.27179582886309045</v>
      </c>
      <c r="E139" s="19">
        <v>2.3729067565280468E-2</v>
      </c>
      <c r="F139" s="19">
        <v>0.34305137966467281</v>
      </c>
      <c r="G139" s="19">
        <v>-2.2843693292166059E-3</v>
      </c>
    </row>
    <row r="140" spans="2:7" x14ac:dyDescent="0.3">
      <c r="B140" s="4" t="s">
        <v>12</v>
      </c>
      <c r="C140" s="19">
        <v>0.90772947086543043</v>
      </c>
      <c r="D140" s="19">
        <v>3.5591883242661173E-4</v>
      </c>
      <c r="E140" s="19">
        <v>-7.9317325334827077E-2</v>
      </c>
      <c r="F140" s="19">
        <v>-5.3835878502961405E-2</v>
      </c>
      <c r="G140" s="19">
        <v>-0.14727287650770987</v>
      </c>
    </row>
    <row r="141" spans="2:7" x14ac:dyDescent="0.3">
      <c r="B141" s="4" t="s">
        <v>13</v>
      </c>
      <c r="C141" s="19">
        <v>0.48897940335697898</v>
      </c>
      <c r="D141" s="19">
        <v>-0.4418469473685398</v>
      </c>
      <c r="E141" s="19">
        <v>0.23315908871268817</v>
      </c>
      <c r="F141" s="19">
        <v>-0.18821755488228598</v>
      </c>
      <c r="G141" s="19">
        <v>-0.49864146088613054</v>
      </c>
    </row>
    <row r="142" spans="2:7" x14ac:dyDescent="0.3">
      <c r="B142" s="4" t="s">
        <v>14</v>
      </c>
      <c r="C142" s="19">
        <v>-0.19367979578292044</v>
      </c>
      <c r="D142" s="19">
        <v>0.57340083440991019</v>
      </c>
      <c r="E142" s="19">
        <v>0.64871460811558723</v>
      </c>
      <c r="F142" s="19">
        <v>0.2883107746022866</v>
      </c>
      <c r="G142" s="19">
        <v>-0.13931735069294052</v>
      </c>
    </row>
    <row r="143" spans="2:7" x14ac:dyDescent="0.3">
      <c r="B143" s="4" t="s">
        <v>15</v>
      </c>
      <c r="C143" s="19">
        <v>0.67601671246720607</v>
      </c>
      <c r="D143" s="19">
        <v>1.9247953122821841E-2</v>
      </c>
      <c r="E143" s="19">
        <v>-9.6222755194576931E-2</v>
      </c>
      <c r="F143" s="19">
        <v>-5.5177145449258821E-2</v>
      </c>
      <c r="G143" s="19">
        <v>-0.24394614544484663</v>
      </c>
    </row>
    <row r="144" spans="2:7" x14ac:dyDescent="0.3">
      <c r="B144" s="4" t="s">
        <v>16</v>
      </c>
      <c r="C144" s="19">
        <v>0.50041467233522419</v>
      </c>
      <c r="D144" s="19">
        <v>-0.3595466440648305</v>
      </c>
      <c r="E144" s="19">
        <v>6.6744715795471143E-2</v>
      </c>
      <c r="F144" s="19">
        <v>0.71127176130562286</v>
      </c>
      <c r="G144" s="19">
        <v>0.26204033106704433</v>
      </c>
    </row>
    <row r="145" spans="2:7" x14ac:dyDescent="0.3">
      <c r="B145" s="4" t="s">
        <v>17</v>
      </c>
      <c r="C145" s="19">
        <v>0.89779281385889864</v>
      </c>
      <c r="D145" s="19">
        <v>-0.19072224591093231</v>
      </c>
      <c r="E145" s="19">
        <v>7.176936777409082E-2</v>
      </c>
      <c r="F145" s="19">
        <v>-9.6214657895126759E-2</v>
      </c>
      <c r="G145" s="19">
        <v>-0.23773390874250536</v>
      </c>
    </row>
    <row r="146" spans="2:7" x14ac:dyDescent="0.3">
      <c r="B146" s="4" t="s">
        <v>18</v>
      </c>
      <c r="C146" s="19">
        <v>0.78521043889832631</v>
      </c>
      <c r="D146" s="19">
        <v>-0.43515188144265948</v>
      </c>
      <c r="E146" s="19">
        <v>0.21805422612371281</v>
      </c>
      <c r="F146" s="19">
        <v>0.24139269811424061</v>
      </c>
      <c r="G146" s="19">
        <v>-0.1608734515995176</v>
      </c>
    </row>
    <row r="147" spans="2:7" x14ac:dyDescent="0.3">
      <c r="B147" s="4" t="s">
        <v>19</v>
      </c>
      <c r="C147" s="19">
        <v>0.84034074593847385</v>
      </c>
      <c r="D147" s="19">
        <v>0.28185440694312924</v>
      </c>
      <c r="E147" s="19">
        <v>-0.24330566628294273</v>
      </c>
      <c r="F147" s="19">
        <v>-5.9771493188582651E-2</v>
      </c>
      <c r="G147" s="19">
        <v>0.12173171639437501</v>
      </c>
    </row>
    <row r="148" spans="2:7" x14ac:dyDescent="0.3">
      <c r="B148" s="4" t="s">
        <v>20</v>
      </c>
      <c r="C148" s="19">
        <v>0.35717984603935327</v>
      </c>
      <c r="D148" s="19">
        <v>-0.34698368302898341</v>
      </c>
      <c r="E148" s="19">
        <v>0.20834544543450989</v>
      </c>
      <c r="F148" s="19">
        <v>0.58088430778924427</v>
      </c>
      <c r="G148" s="19">
        <v>0.56950646910607094</v>
      </c>
    </row>
    <row r="149" spans="2:7" x14ac:dyDescent="0.3">
      <c r="B149" s="4" t="s">
        <v>21</v>
      </c>
      <c r="C149" s="19">
        <v>0.45515603328114806</v>
      </c>
      <c r="D149" s="19">
        <v>0.33957814410020098</v>
      </c>
      <c r="E149" s="19">
        <v>-7.9351862296749426E-2</v>
      </c>
      <c r="F149" s="19">
        <v>-0.38136353113265431</v>
      </c>
      <c r="G149" s="19">
        <v>0.49849879796632623</v>
      </c>
    </row>
    <row r="150" spans="2:7" x14ac:dyDescent="0.3">
      <c r="B150" s="4" t="s">
        <v>22</v>
      </c>
      <c r="C150" s="19">
        <v>0.91555323395384103</v>
      </c>
      <c r="D150" s="19">
        <v>-0.24641694027994748</v>
      </c>
      <c r="E150" s="19">
        <v>6.8399519414439558E-2</v>
      </c>
      <c r="F150" s="19">
        <v>0.15011908812776639</v>
      </c>
      <c r="G150" s="19">
        <v>-3.2185379890426455E-2</v>
      </c>
    </row>
    <row r="151" spans="2:7" x14ac:dyDescent="0.3">
      <c r="B151" s="4" t="s">
        <v>23</v>
      </c>
      <c r="C151" s="19">
        <v>5.1438772833333419E-3</v>
      </c>
      <c r="D151" s="19">
        <v>-2.5646839781632885E-2</v>
      </c>
      <c r="E151" s="19">
        <v>0.57330193987934575</v>
      </c>
      <c r="F151" s="19">
        <v>-0.39647384149490317</v>
      </c>
      <c r="G151" s="19">
        <v>0.5750884116110343</v>
      </c>
    </row>
    <row r="152" spans="2:7" x14ac:dyDescent="0.3">
      <c r="B152" s="4" t="s">
        <v>24</v>
      </c>
      <c r="C152" s="19">
        <v>0.88332693583455146</v>
      </c>
      <c r="D152" s="19">
        <v>0.213497214201779</v>
      </c>
      <c r="E152" s="19">
        <v>-0.14141056537494726</v>
      </c>
      <c r="F152" s="19">
        <v>-0.24023092818057337</v>
      </c>
      <c r="G152" s="19">
        <v>5.005334149651211E-2</v>
      </c>
    </row>
    <row r="153" spans="2:7" x14ac:dyDescent="0.3">
      <c r="B153" s="4" t="s">
        <v>25</v>
      </c>
      <c r="C153" s="19">
        <v>0.82127286425779022</v>
      </c>
      <c r="D153" s="19">
        <v>0.27748141359458378</v>
      </c>
      <c r="E153" s="19">
        <v>-0.27067652859468799</v>
      </c>
      <c r="F153" s="19">
        <v>-0.12699563471172959</v>
      </c>
      <c r="G153" s="19">
        <v>8.8678500679428771E-2</v>
      </c>
    </row>
    <row r="154" spans="2:7" ht="15" thickBot="1" x14ac:dyDescent="0.35">
      <c r="B154" s="17" t="s">
        <v>26</v>
      </c>
      <c r="C154" s="20">
        <v>0.84805749550477705</v>
      </c>
      <c r="D154" s="20">
        <v>0.30408040090050109</v>
      </c>
      <c r="E154" s="20">
        <v>-0.28676691092986256</v>
      </c>
      <c r="F154" s="20">
        <v>-2.5014131864639293E-2</v>
      </c>
      <c r="G154" s="20">
        <v>0.17185509366471477</v>
      </c>
    </row>
    <row r="157" spans="2:7" x14ac:dyDescent="0.3">
      <c r="B157" t="s">
        <v>375</v>
      </c>
    </row>
    <row r="158" spans="2:7" ht="15" thickBot="1" x14ac:dyDescent="0.35"/>
    <row r="159" spans="2:7" x14ac:dyDescent="0.3">
      <c r="B159" s="6"/>
      <c r="C159" s="7" t="s">
        <v>346</v>
      </c>
      <c r="D159" s="7" t="s">
        <v>347</v>
      </c>
      <c r="E159" s="7" t="s">
        <v>348</v>
      </c>
      <c r="F159" s="7" t="s">
        <v>349</v>
      </c>
      <c r="G159" s="7" t="s">
        <v>350</v>
      </c>
    </row>
    <row r="160" spans="2:7" x14ac:dyDescent="0.3">
      <c r="B160" s="16" t="s">
        <v>4</v>
      </c>
      <c r="C160" s="18">
        <v>0.41794227727735717</v>
      </c>
      <c r="D160" s="18">
        <v>0.75382505992550441</v>
      </c>
      <c r="E160" s="18">
        <v>0.47699365809281435</v>
      </c>
      <c r="F160" s="18">
        <v>2.8175942679005635E-2</v>
      </c>
      <c r="G160" s="18">
        <v>7.9082974784508066E-3</v>
      </c>
    </row>
    <row r="161" spans="2:7" x14ac:dyDescent="0.3">
      <c r="B161" s="4" t="s">
        <v>5</v>
      </c>
      <c r="C161" s="19">
        <v>0.85610992865588031</v>
      </c>
      <c r="D161" s="19">
        <v>0.31130556261322589</v>
      </c>
      <c r="E161" s="19">
        <v>-0.29946001336920219</v>
      </c>
      <c r="F161" s="19">
        <v>-0.12375565404411397</v>
      </c>
      <c r="G161" s="19">
        <v>0.10247879902399068</v>
      </c>
    </row>
    <row r="162" spans="2:7" x14ac:dyDescent="0.3">
      <c r="B162" s="4" t="s">
        <v>6</v>
      </c>
      <c r="C162" s="19">
        <v>4.1939007219502118E-2</v>
      </c>
      <c r="D162" s="19">
        <v>0.87899656152161898</v>
      </c>
      <c r="E162" s="19">
        <v>0.39871039854158741</v>
      </c>
      <c r="F162" s="19">
        <v>0.19212144629978603</v>
      </c>
      <c r="G162" s="19">
        <v>-1.0096450061766366E-2</v>
      </c>
    </row>
    <row r="163" spans="2:7" x14ac:dyDescent="0.3">
      <c r="B163" s="4" t="s">
        <v>7</v>
      </c>
      <c r="C163" s="19">
        <v>0.47711483353825546</v>
      </c>
      <c r="D163" s="19">
        <v>-0.40012584843507543</v>
      </c>
      <c r="E163" s="19">
        <v>0.63818589244974089</v>
      </c>
      <c r="F163" s="19">
        <v>-0.3515693302885351</v>
      </c>
      <c r="G163" s="19">
        <v>-3.1939352671875927E-2</v>
      </c>
    </row>
    <row r="164" spans="2:7" x14ac:dyDescent="0.3">
      <c r="B164" s="4" t="s">
        <v>8</v>
      </c>
      <c r="C164" s="19">
        <v>0.3515650624349172</v>
      </c>
      <c r="D164" s="19">
        <v>-0.35760827166250375</v>
      </c>
      <c r="E164" s="19">
        <v>0.68650082519430078</v>
      </c>
      <c r="F164" s="19">
        <v>-0.34867061711141756</v>
      </c>
      <c r="G164" s="19">
        <v>-3.3759775265512692E-3</v>
      </c>
    </row>
    <row r="165" spans="2:7" x14ac:dyDescent="0.3">
      <c r="B165" s="4" t="s">
        <v>9</v>
      </c>
      <c r="C165" s="19">
        <v>-0.1449866860035498</v>
      </c>
      <c r="D165" s="19">
        <v>-0.25805761437437169</v>
      </c>
      <c r="E165" s="19">
        <v>5.4886199663015396E-2</v>
      </c>
      <c r="F165" s="19">
        <v>-0.10762449012965859</v>
      </c>
      <c r="G165" s="19">
        <v>0.37594187693689202</v>
      </c>
    </row>
    <row r="166" spans="2:7" x14ac:dyDescent="0.3">
      <c r="B166" s="4" t="s">
        <v>10</v>
      </c>
      <c r="C166" s="19">
        <v>0.24121413701513919</v>
      </c>
      <c r="D166" s="19">
        <v>0.73247767334733138</v>
      </c>
      <c r="E166" s="19">
        <v>0.22120442250394118</v>
      </c>
      <c r="F166" s="19">
        <v>0.28999021266220149</v>
      </c>
      <c r="G166" s="19">
        <v>-0.25955138151028329</v>
      </c>
    </row>
    <row r="167" spans="2:7" x14ac:dyDescent="0.3">
      <c r="B167" s="4" t="s">
        <v>11</v>
      </c>
      <c r="C167" s="19">
        <v>0.82923333874454297</v>
      </c>
      <c r="D167" s="19">
        <v>-0.27179582886309045</v>
      </c>
      <c r="E167" s="19">
        <v>2.3729067565280468E-2</v>
      </c>
      <c r="F167" s="19">
        <v>0.34305137966467281</v>
      </c>
      <c r="G167" s="19">
        <v>-2.2843693292166059E-3</v>
      </c>
    </row>
    <row r="168" spans="2:7" x14ac:dyDescent="0.3">
      <c r="B168" s="4" t="s">
        <v>12</v>
      </c>
      <c r="C168" s="19">
        <v>0.90772947086543043</v>
      </c>
      <c r="D168" s="19">
        <v>3.5591883242661173E-4</v>
      </c>
      <c r="E168" s="19">
        <v>-7.9317325334827077E-2</v>
      </c>
      <c r="F168" s="19">
        <v>-5.3835878502961405E-2</v>
      </c>
      <c r="G168" s="19">
        <v>-0.14727287650770987</v>
      </c>
    </row>
    <row r="169" spans="2:7" x14ac:dyDescent="0.3">
      <c r="B169" s="4" t="s">
        <v>13</v>
      </c>
      <c r="C169" s="19">
        <v>0.48897940335697898</v>
      </c>
      <c r="D169" s="19">
        <v>-0.4418469473685398</v>
      </c>
      <c r="E169" s="19">
        <v>0.23315908871268817</v>
      </c>
      <c r="F169" s="19">
        <v>-0.18821755488228598</v>
      </c>
      <c r="G169" s="19">
        <v>-0.49864146088613054</v>
      </c>
    </row>
    <row r="170" spans="2:7" x14ac:dyDescent="0.3">
      <c r="B170" s="4" t="s">
        <v>14</v>
      </c>
      <c r="C170" s="19">
        <v>-0.19367979578292044</v>
      </c>
      <c r="D170" s="19">
        <v>0.57340083440991019</v>
      </c>
      <c r="E170" s="19">
        <v>0.64871460811558723</v>
      </c>
      <c r="F170" s="19">
        <v>0.2883107746022866</v>
      </c>
      <c r="G170" s="19">
        <v>-0.13931735069294052</v>
      </c>
    </row>
    <row r="171" spans="2:7" x14ac:dyDescent="0.3">
      <c r="B171" s="4" t="s">
        <v>15</v>
      </c>
      <c r="C171" s="19">
        <v>0.67601671246720607</v>
      </c>
      <c r="D171" s="19">
        <v>1.9247953122821841E-2</v>
      </c>
      <c r="E171" s="19">
        <v>-9.6222755194576931E-2</v>
      </c>
      <c r="F171" s="19">
        <v>-5.5177145449258821E-2</v>
      </c>
      <c r="G171" s="19">
        <v>-0.24394614544484663</v>
      </c>
    </row>
    <row r="172" spans="2:7" x14ac:dyDescent="0.3">
      <c r="B172" s="4" t="s">
        <v>16</v>
      </c>
      <c r="C172" s="19">
        <v>0.50041467233522419</v>
      </c>
      <c r="D172" s="19">
        <v>-0.3595466440648305</v>
      </c>
      <c r="E172" s="19">
        <v>6.6744715795471143E-2</v>
      </c>
      <c r="F172" s="19">
        <v>0.71127176130562286</v>
      </c>
      <c r="G172" s="19">
        <v>0.26204033106704433</v>
      </c>
    </row>
    <row r="173" spans="2:7" x14ac:dyDescent="0.3">
      <c r="B173" s="4" t="s">
        <v>17</v>
      </c>
      <c r="C173" s="19">
        <v>0.89779281385889864</v>
      </c>
      <c r="D173" s="19">
        <v>-0.19072224591093231</v>
      </c>
      <c r="E173" s="19">
        <v>7.176936777409082E-2</v>
      </c>
      <c r="F173" s="19">
        <v>-9.6214657895126759E-2</v>
      </c>
      <c r="G173" s="19">
        <v>-0.23773390874250536</v>
      </c>
    </row>
    <row r="174" spans="2:7" x14ac:dyDescent="0.3">
      <c r="B174" s="4" t="s">
        <v>18</v>
      </c>
      <c r="C174" s="19">
        <v>0.78521043889832631</v>
      </c>
      <c r="D174" s="19">
        <v>-0.43515188144265948</v>
      </c>
      <c r="E174" s="19">
        <v>0.21805422612371281</v>
      </c>
      <c r="F174" s="19">
        <v>0.24139269811424061</v>
      </c>
      <c r="G174" s="19">
        <v>-0.1608734515995176</v>
      </c>
    </row>
    <row r="175" spans="2:7" x14ac:dyDescent="0.3">
      <c r="B175" s="4" t="s">
        <v>19</v>
      </c>
      <c r="C175" s="19">
        <v>0.84034074593847385</v>
      </c>
      <c r="D175" s="19">
        <v>0.28185440694312924</v>
      </c>
      <c r="E175" s="19">
        <v>-0.24330566628294273</v>
      </c>
      <c r="F175" s="19">
        <v>-5.9771493188582651E-2</v>
      </c>
      <c r="G175" s="19">
        <v>0.12173171639437501</v>
      </c>
    </row>
    <row r="176" spans="2:7" x14ac:dyDescent="0.3">
      <c r="B176" s="4" t="s">
        <v>20</v>
      </c>
      <c r="C176" s="19">
        <v>0.35717984603935327</v>
      </c>
      <c r="D176" s="19">
        <v>-0.34698368302898341</v>
      </c>
      <c r="E176" s="19">
        <v>0.20834544543450989</v>
      </c>
      <c r="F176" s="19">
        <v>0.58088430778924427</v>
      </c>
      <c r="G176" s="19">
        <v>0.56950646910607094</v>
      </c>
    </row>
    <row r="177" spans="2:7" x14ac:dyDescent="0.3">
      <c r="B177" s="4" t="s">
        <v>21</v>
      </c>
      <c r="C177" s="19">
        <v>0.45515603328114806</v>
      </c>
      <c r="D177" s="19">
        <v>0.33957814410020098</v>
      </c>
      <c r="E177" s="19">
        <v>-7.9351862296749426E-2</v>
      </c>
      <c r="F177" s="19">
        <v>-0.38136353113265431</v>
      </c>
      <c r="G177" s="19">
        <v>0.49849879796632623</v>
      </c>
    </row>
    <row r="178" spans="2:7" x14ac:dyDescent="0.3">
      <c r="B178" s="4" t="s">
        <v>22</v>
      </c>
      <c r="C178" s="19">
        <v>0.91555323395384103</v>
      </c>
      <c r="D178" s="19">
        <v>-0.24641694027994748</v>
      </c>
      <c r="E178" s="19">
        <v>6.8399519414439558E-2</v>
      </c>
      <c r="F178" s="19">
        <v>0.15011908812776639</v>
      </c>
      <c r="G178" s="19">
        <v>-3.2185379890426455E-2</v>
      </c>
    </row>
    <row r="179" spans="2:7" x14ac:dyDescent="0.3">
      <c r="B179" s="4" t="s">
        <v>23</v>
      </c>
      <c r="C179" s="19">
        <v>5.1438772833333419E-3</v>
      </c>
      <c r="D179" s="19">
        <v>-2.5646839781632885E-2</v>
      </c>
      <c r="E179" s="19">
        <v>0.57330193987934575</v>
      </c>
      <c r="F179" s="19">
        <v>-0.39647384149490317</v>
      </c>
      <c r="G179" s="19">
        <v>0.5750884116110343</v>
      </c>
    </row>
    <row r="180" spans="2:7" x14ac:dyDescent="0.3">
      <c r="B180" s="4" t="s">
        <v>24</v>
      </c>
      <c r="C180" s="19">
        <v>0.88332693583455146</v>
      </c>
      <c r="D180" s="19">
        <v>0.213497214201779</v>
      </c>
      <c r="E180" s="19">
        <v>-0.14141056537494726</v>
      </c>
      <c r="F180" s="19">
        <v>-0.24023092818057337</v>
      </c>
      <c r="G180" s="19">
        <v>5.005334149651211E-2</v>
      </c>
    </row>
    <row r="181" spans="2:7" x14ac:dyDescent="0.3">
      <c r="B181" s="4" t="s">
        <v>25</v>
      </c>
      <c r="C181" s="19">
        <v>0.82127286425779022</v>
      </c>
      <c r="D181" s="19">
        <v>0.27748141359458378</v>
      </c>
      <c r="E181" s="19">
        <v>-0.27067652859468799</v>
      </c>
      <c r="F181" s="19">
        <v>-0.12699563471172959</v>
      </c>
      <c r="G181" s="19">
        <v>8.8678500679428771E-2</v>
      </c>
    </row>
    <row r="182" spans="2:7" ht="15" thickBot="1" x14ac:dyDescent="0.35">
      <c r="B182" s="17" t="s">
        <v>26</v>
      </c>
      <c r="C182" s="20">
        <v>0.84805749550477705</v>
      </c>
      <c r="D182" s="20">
        <v>0.30408040090050109</v>
      </c>
      <c r="E182" s="20">
        <v>-0.28676691092986256</v>
      </c>
      <c r="F182" s="20">
        <v>-2.5014131864639293E-2</v>
      </c>
      <c r="G182" s="20">
        <v>0.17185509366471477</v>
      </c>
    </row>
    <row r="202" spans="2:7" x14ac:dyDescent="0.3">
      <c r="G202" t="s">
        <v>372</v>
      </c>
    </row>
    <row r="205" spans="2:7" x14ac:dyDescent="0.3">
      <c r="B205" t="s">
        <v>376</v>
      </c>
    </row>
    <row r="206" spans="2:7" ht="15" thickBot="1" x14ac:dyDescent="0.35"/>
    <row r="207" spans="2:7" x14ac:dyDescent="0.3">
      <c r="B207" s="6"/>
      <c r="C207" s="7" t="s">
        <v>346</v>
      </c>
      <c r="D207" s="7" t="s">
        <v>347</v>
      </c>
      <c r="E207" s="7" t="s">
        <v>348</v>
      </c>
      <c r="F207" s="7" t="s">
        <v>349</v>
      </c>
      <c r="G207" s="7" t="s">
        <v>350</v>
      </c>
    </row>
    <row r="208" spans="2:7" x14ac:dyDescent="0.3">
      <c r="B208" s="16" t="s">
        <v>4</v>
      </c>
      <c r="C208" s="18">
        <v>1.8759839977526906</v>
      </c>
      <c r="D208" s="18">
        <v>14.66934116317276</v>
      </c>
      <c r="E208" s="18">
        <v>8.8430826959857161</v>
      </c>
      <c r="F208" s="18">
        <v>4.0709693159868249E-2</v>
      </c>
      <c r="G208" s="18">
        <v>3.7225998874685796E-3</v>
      </c>
    </row>
    <row r="209" spans="2:7" x14ac:dyDescent="0.3">
      <c r="B209" s="4" t="s">
        <v>5</v>
      </c>
      <c r="C209" s="19">
        <v>7.871465340578272</v>
      </c>
      <c r="D209" s="19">
        <v>2.5017460874112585</v>
      </c>
      <c r="E209" s="19">
        <v>3.4854283217614697</v>
      </c>
      <c r="F209" s="19">
        <v>0.78536405126126752</v>
      </c>
      <c r="G209" s="19">
        <v>0.62509844630862132</v>
      </c>
    </row>
    <row r="210" spans="2:7" x14ac:dyDescent="0.3">
      <c r="B210" s="4" t="s">
        <v>6</v>
      </c>
      <c r="C210" s="19">
        <v>1.8890037115563918E-2</v>
      </c>
      <c r="D210" s="19">
        <v>19.945449104543947</v>
      </c>
      <c r="E210" s="19">
        <v>6.1786500967363818</v>
      </c>
      <c r="F210" s="19">
        <v>1.8927472050019494</v>
      </c>
      <c r="G210" s="19">
        <v>6.0676115343037589E-3</v>
      </c>
    </row>
    <row r="211" spans="2:7" x14ac:dyDescent="0.3">
      <c r="B211" s="4" t="s">
        <v>7</v>
      </c>
      <c r="C211" s="19">
        <v>2.4447944895321405</v>
      </c>
      <c r="D211" s="19">
        <v>4.1329740961247108</v>
      </c>
      <c r="E211" s="19">
        <v>15.829706976779367</v>
      </c>
      <c r="F211" s="19">
        <v>6.3381553864467124</v>
      </c>
      <c r="G211" s="19">
        <v>6.0720114925135855E-2</v>
      </c>
    </row>
    <row r="212" spans="2:7" x14ac:dyDescent="0.3">
      <c r="B212" s="4" t="s">
        <v>8</v>
      </c>
      <c r="C212" s="19">
        <v>1.3274187233122678</v>
      </c>
      <c r="D212" s="19">
        <v>3.3012968584112277</v>
      </c>
      <c r="E212" s="19">
        <v>18.317263957752854</v>
      </c>
      <c r="F212" s="19">
        <v>6.234069212119814</v>
      </c>
      <c r="G212" s="19">
        <v>6.7839003363854807E-4</v>
      </c>
    </row>
    <row r="213" spans="2:7" x14ac:dyDescent="0.3">
      <c r="B213" s="4" t="s">
        <v>9</v>
      </c>
      <c r="C213" s="19">
        <v>0.22576299942655434</v>
      </c>
      <c r="D213" s="19">
        <v>1.7191066623620717</v>
      </c>
      <c r="E213" s="19">
        <v>0.11708595399788439</v>
      </c>
      <c r="F213" s="19">
        <v>0.59396811595446908</v>
      </c>
      <c r="G213" s="19">
        <v>8.4124360512559555</v>
      </c>
    </row>
    <row r="214" spans="2:7" x14ac:dyDescent="0.3">
      <c r="B214" s="4" t="s">
        <v>10</v>
      </c>
      <c r="C214" s="19">
        <v>0.62488778365466013</v>
      </c>
      <c r="D214" s="19">
        <v>13.850270335088601</v>
      </c>
      <c r="E214" s="19">
        <v>1.9018054497647117</v>
      </c>
      <c r="F214" s="19">
        <v>4.3122864293634038</v>
      </c>
      <c r="G214" s="19">
        <v>4.0098401015611556</v>
      </c>
    </row>
    <row r="215" spans="2:7" x14ac:dyDescent="0.3">
      <c r="B215" s="4" t="s">
        <v>11</v>
      </c>
      <c r="C215" s="19">
        <v>7.3849919888723825</v>
      </c>
      <c r="D215" s="19">
        <v>1.9070190975564894</v>
      </c>
      <c r="E215" s="19">
        <v>2.1884660938874468E-2</v>
      </c>
      <c r="F215" s="19">
        <v>6.0347496661031643</v>
      </c>
      <c r="G215" s="19">
        <v>3.106082639232611E-4</v>
      </c>
    </row>
    <row r="216" spans="2:7" x14ac:dyDescent="0.3">
      <c r="B216" s="4" t="s">
        <v>12</v>
      </c>
      <c r="C216" s="19">
        <v>8.8493096393906097</v>
      </c>
      <c r="D216" s="19">
        <v>3.270178081568692E-6</v>
      </c>
      <c r="E216" s="19">
        <v>0.24452011894707956</v>
      </c>
      <c r="F216" s="19">
        <v>0.14862248806185871</v>
      </c>
      <c r="G216" s="19">
        <v>1.2909989946915181</v>
      </c>
    </row>
    <row r="217" spans="2:7" x14ac:dyDescent="0.3">
      <c r="B217" s="4" t="s">
        <v>13</v>
      </c>
      <c r="C217" s="19">
        <v>2.5678973112303995</v>
      </c>
      <c r="D217" s="19">
        <v>5.0397986399349222</v>
      </c>
      <c r="E217" s="19">
        <v>2.1129205890279876</v>
      </c>
      <c r="F217" s="19">
        <v>1.8166077944741568</v>
      </c>
      <c r="G217" s="19">
        <v>14.79984399936197</v>
      </c>
    </row>
    <row r="218" spans="2:7" x14ac:dyDescent="0.3">
      <c r="B218" s="4" t="s">
        <v>14</v>
      </c>
      <c r="C218" s="19">
        <v>0.40287021192295974</v>
      </c>
      <c r="D218" s="19">
        <v>8.4876235357627206</v>
      </c>
      <c r="E218" s="19">
        <v>16.356328789725957</v>
      </c>
      <c r="F218" s="19">
        <v>4.2624830464252179</v>
      </c>
      <c r="G218" s="19">
        <v>1.1552893756936384</v>
      </c>
    </row>
    <row r="219" spans="2:7" x14ac:dyDescent="0.3">
      <c r="B219" s="4" t="s">
        <v>15</v>
      </c>
      <c r="C219" s="19">
        <v>4.908077201768724</v>
      </c>
      <c r="D219" s="19">
        <v>9.5639780745051164E-3</v>
      </c>
      <c r="E219" s="19">
        <v>0.35986039539945636</v>
      </c>
      <c r="F219" s="19">
        <v>0.15612029973479832</v>
      </c>
      <c r="G219" s="19">
        <v>3.5421609074322866</v>
      </c>
    </row>
    <row r="220" spans="2:7" x14ac:dyDescent="0.3">
      <c r="B220" s="4" t="s">
        <v>16</v>
      </c>
      <c r="C220" s="19">
        <v>2.6894073641461906</v>
      </c>
      <c r="D220" s="19">
        <v>3.3371824131951966</v>
      </c>
      <c r="E220" s="19">
        <v>0.173145916224587</v>
      </c>
      <c r="F220" s="19">
        <v>25.942513561001785</v>
      </c>
      <c r="G220" s="19">
        <v>4.0871129893052904</v>
      </c>
    </row>
    <row r="221" spans="2:7" x14ac:dyDescent="0.3">
      <c r="B221" s="4" t="s">
        <v>17</v>
      </c>
      <c r="C221" s="19">
        <v>8.656628293079951</v>
      </c>
      <c r="D221" s="19">
        <v>0.93901422578849347</v>
      </c>
      <c r="E221" s="19">
        <v>0.20019660926697261</v>
      </c>
      <c r="F221" s="19">
        <v>0.47470455479840479</v>
      </c>
      <c r="G221" s="19">
        <v>3.3640514325090778</v>
      </c>
    </row>
    <row r="222" spans="2:7" x14ac:dyDescent="0.3">
      <c r="B222" s="4" t="s">
        <v>18</v>
      </c>
      <c r="C222" s="19">
        <v>6.6216870153253593</v>
      </c>
      <c r="D222" s="19">
        <v>4.8882251192109329</v>
      </c>
      <c r="E222" s="19">
        <v>1.8480235144725075</v>
      </c>
      <c r="F222" s="19">
        <v>2.9880590570656125</v>
      </c>
      <c r="G222" s="19">
        <v>1.5404553856205279</v>
      </c>
    </row>
    <row r="223" spans="2:7" x14ac:dyDescent="0.3">
      <c r="B223" s="4" t="s">
        <v>19</v>
      </c>
      <c r="C223" s="19">
        <v>7.5841578544942072</v>
      </c>
      <c r="D223" s="19">
        <v>2.0507802507785673</v>
      </c>
      <c r="E223" s="19">
        <v>2.300821478972126</v>
      </c>
      <c r="F223" s="19">
        <v>0.1832015439864737</v>
      </c>
      <c r="G223" s="19">
        <v>0.8820391381172471</v>
      </c>
    </row>
    <row r="224" spans="2:7" x14ac:dyDescent="0.3">
      <c r="B224" s="4" t="s">
        <v>20</v>
      </c>
      <c r="C224" s="19">
        <v>1.3701572449087209</v>
      </c>
      <c r="D224" s="19">
        <v>3.1080469614480357</v>
      </c>
      <c r="E224" s="19">
        <v>1.6871220381067622</v>
      </c>
      <c r="F224" s="19">
        <v>17.302952187052188</v>
      </c>
      <c r="G224" s="19">
        <v>19.305350391468991</v>
      </c>
    </row>
    <row r="225" spans="2:7" x14ac:dyDescent="0.3">
      <c r="B225" s="4" t="s">
        <v>21</v>
      </c>
      <c r="C225" s="19">
        <v>2.2249339744352219</v>
      </c>
      <c r="D225" s="19">
        <v>2.9767950038851301</v>
      </c>
      <c r="E225" s="19">
        <v>0.24473310698194564</v>
      </c>
      <c r="F225" s="19">
        <v>7.4579460799506601</v>
      </c>
      <c r="G225" s="19">
        <v>14.791376645218284</v>
      </c>
    </row>
    <row r="226" spans="2:7" x14ac:dyDescent="0.3">
      <c r="B226" s="4" t="s">
        <v>22</v>
      </c>
      <c r="C226" s="19">
        <v>9.0025122703250968</v>
      </c>
      <c r="D226" s="19">
        <v>1.5675109691711122</v>
      </c>
      <c r="E226" s="19">
        <v>0.18183797118021391</v>
      </c>
      <c r="F226" s="19">
        <v>1.1556138925609389</v>
      </c>
      <c r="G226" s="19">
        <v>6.1659165728917019E-2</v>
      </c>
    </row>
    <row r="227" spans="2:7" x14ac:dyDescent="0.3">
      <c r="B227" s="4" t="s">
        <v>23</v>
      </c>
      <c r="C227" s="19">
        <v>2.8416966694075904E-4</v>
      </c>
      <c r="D227" s="19">
        <v>1.6979980402969674E-2</v>
      </c>
      <c r="E227" s="19">
        <v>12.774540842476382</v>
      </c>
      <c r="F227" s="19">
        <v>8.0606487415012307</v>
      </c>
      <c r="G227" s="19">
        <v>19.685642683664675</v>
      </c>
    </row>
    <row r="228" spans="2:7" x14ac:dyDescent="0.3">
      <c r="B228" s="4" t="s">
        <v>24</v>
      </c>
      <c r="C228" s="19">
        <v>8.3799121867557709</v>
      </c>
      <c r="D228" s="19">
        <v>1.1766678632570069</v>
      </c>
      <c r="E228" s="19">
        <v>0.77721682554025984</v>
      </c>
      <c r="F228" s="19">
        <v>2.9593665276892751</v>
      </c>
      <c r="G228" s="19">
        <v>0.14912364708739348</v>
      </c>
    </row>
    <row r="229" spans="2:7" x14ac:dyDescent="0.3">
      <c r="B229" s="4" t="s">
        <v>25</v>
      </c>
      <c r="C229" s="19">
        <v>7.24388366422109</v>
      </c>
      <c r="D229" s="19">
        <v>1.9876378752274073</v>
      </c>
      <c r="E229" s="19">
        <v>2.847604513828367</v>
      </c>
      <c r="F229" s="19">
        <v>0.82702474632869183</v>
      </c>
      <c r="G229" s="19">
        <v>0.46807672728609462</v>
      </c>
    </row>
    <row r="230" spans="2:7" ht="15" thickBot="1" x14ac:dyDescent="0.35">
      <c r="B230" s="17" t="s">
        <v>26</v>
      </c>
      <c r="C230" s="20">
        <v>7.7240862380843351</v>
      </c>
      <c r="D230" s="20">
        <v>2.3869665090141741</v>
      </c>
      <c r="E230" s="20">
        <v>3.1962191761325429</v>
      </c>
      <c r="F230" s="20">
        <v>3.2085719958158052E-2</v>
      </c>
      <c r="G230" s="20">
        <v>1.7579445930441298</v>
      </c>
    </row>
    <row r="233" spans="2:7" x14ac:dyDescent="0.3">
      <c r="B233" t="s">
        <v>377</v>
      </c>
    </row>
    <row r="234" spans="2:7" ht="15" thickBot="1" x14ac:dyDescent="0.35"/>
    <row r="235" spans="2:7" x14ac:dyDescent="0.3">
      <c r="B235" s="6"/>
      <c r="C235" s="7" t="s">
        <v>346</v>
      </c>
      <c r="D235" s="7" t="s">
        <v>347</v>
      </c>
      <c r="E235" s="7" t="s">
        <v>348</v>
      </c>
      <c r="F235" s="7" t="s">
        <v>349</v>
      </c>
      <c r="G235" s="7" t="s">
        <v>350</v>
      </c>
    </row>
    <row r="236" spans="2:7" x14ac:dyDescent="0.3">
      <c r="B236" s="16" t="s">
        <v>4</v>
      </c>
      <c r="C236" s="18">
        <v>0.17467574713578268</v>
      </c>
      <c r="D236" s="21">
        <v>0.56825222097168837</v>
      </c>
      <c r="E236" s="18">
        <v>0.22752294986076388</v>
      </c>
      <c r="F236" s="18">
        <v>7.9388374585060849E-4</v>
      </c>
      <c r="G236" s="18">
        <v>6.2541169007671176E-5</v>
      </c>
    </row>
    <row r="237" spans="2:7" x14ac:dyDescent="0.3">
      <c r="B237" s="4" t="s">
        <v>5</v>
      </c>
      <c r="C237" s="23">
        <v>0.73292420994317553</v>
      </c>
      <c r="D237" s="19">
        <v>9.6911153313936987E-2</v>
      </c>
      <c r="E237" s="19">
        <v>8.9676299607082635E-2</v>
      </c>
      <c r="F237" s="19">
        <v>1.5315461907886402E-2</v>
      </c>
      <c r="G237" s="19">
        <v>1.0501904249399459E-2</v>
      </c>
    </row>
    <row r="238" spans="2:7" x14ac:dyDescent="0.3">
      <c r="B238" s="4" t="s">
        <v>6</v>
      </c>
      <c r="C238" s="19">
        <v>1.7588803265574454E-3</v>
      </c>
      <c r="D238" s="23">
        <v>0.7726349551668269</v>
      </c>
      <c r="E238" s="19">
        <v>0.15896998190519096</v>
      </c>
      <c r="F238" s="19">
        <v>3.6910650128321447E-2</v>
      </c>
      <c r="G238" s="19">
        <v>1.0193830384974175E-4</v>
      </c>
    </row>
    <row r="239" spans="2:7" x14ac:dyDescent="0.3">
      <c r="B239" s="4" t="s">
        <v>7</v>
      </c>
      <c r="C239" s="19">
        <v>0.2276385643822367</v>
      </c>
      <c r="D239" s="19">
        <v>0.1601006945858886</v>
      </c>
      <c r="E239" s="23">
        <v>0.40728123332187138</v>
      </c>
      <c r="F239" s="19">
        <v>0.1236009939995288</v>
      </c>
      <c r="G239" s="19">
        <v>1.0201222490984659E-3</v>
      </c>
    </row>
    <row r="240" spans="2:7" x14ac:dyDescent="0.3">
      <c r="B240" s="4" t="s">
        <v>8</v>
      </c>
      <c r="C240" s="19">
        <v>0.12359799312486681</v>
      </c>
      <c r="D240" s="19">
        <v>0.12788367596144268</v>
      </c>
      <c r="E240" s="23">
        <v>0.47128338299245437</v>
      </c>
      <c r="F240" s="19">
        <v>0.12157119923685634</v>
      </c>
      <c r="G240" s="19">
        <v>1.1397224259779188E-5</v>
      </c>
    </row>
    <row r="241" spans="2:7" x14ac:dyDescent="0.3">
      <c r="B241" s="4" t="s">
        <v>9</v>
      </c>
      <c r="C241" s="19">
        <v>2.1021139118291912E-2</v>
      </c>
      <c r="D241" s="19">
        <v>6.6593732336591827E-2</v>
      </c>
      <c r="E241" s="19">
        <v>3.0124949134483865E-3</v>
      </c>
      <c r="F241" s="19">
        <v>1.1583030875668962E-2</v>
      </c>
      <c r="G241" s="23">
        <v>0.14133229483483303</v>
      </c>
    </row>
    <row r="242" spans="2:7" x14ac:dyDescent="0.3">
      <c r="B242" s="4" t="s">
        <v>10</v>
      </c>
      <c r="C242" s="19">
        <v>5.8184259895958226E-2</v>
      </c>
      <c r="D242" s="23">
        <v>0.53652354195231877</v>
      </c>
      <c r="E242" s="19">
        <v>4.893139653530202E-2</v>
      </c>
      <c r="F242" s="19">
        <v>8.4094323439868682E-2</v>
      </c>
      <c r="G242" s="19">
        <v>6.7366919643896489E-2</v>
      </c>
    </row>
    <row r="243" spans="2:7" x14ac:dyDescent="0.3">
      <c r="B243" s="4" t="s">
        <v>11</v>
      </c>
      <c r="C243" s="23">
        <v>0.68762793008542067</v>
      </c>
      <c r="D243" s="19">
        <v>7.38729725873742E-2</v>
      </c>
      <c r="E243" s="19">
        <v>5.6306864751764444E-4</v>
      </c>
      <c r="F243" s="19">
        <v>0.11768424908983526</v>
      </c>
      <c r="G243" s="19">
        <v>5.2183432322655158E-6</v>
      </c>
    </row>
    <row r="244" spans="2:7" x14ac:dyDescent="0.3">
      <c r="B244" s="4" t="s">
        <v>12</v>
      </c>
      <c r="C244" s="23">
        <v>0.82397279227763254</v>
      </c>
      <c r="D244" s="19">
        <v>1.2667821527592223E-7</v>
      </c>
      <c r="E244" s="19">
        <v>6.2912380982707876E-3</v>
      </c>
      <c r="F244" s="19">
        <v>2.8983018141856155E-3</v>
      </c>
      <c r="G244" s="19">
        <v>2.1689300154855113E-2</v>
      </c>
    </row>
    <row r="245" spans="2:7" x14ac:dyDescent="0.3">
      <c r="B245" s="4" t="s">
        <v>13</v>
      </c>
      <c r="C245" s="19">
        <v>0.23910085690734667</v>
      </c>
      <c r="D245" s="19">
        <v>0.19522872489889678</v>
      </c>
      <c r="E245" s="19">
        <v>5.4363160649331083E-2</v>
      </c>
      <c r="F245" s="19">
        <v>3.5425847965866265E-2</v>
      </c>
      <c r="G245" s="23">
        <v>0.24864330651465394</v>
      </c>
    </row>
    <row r="246" spans="2:7" x14ac:dyDescent="0.3">
      <c r="B246" s="4" t="s">
        <v>14</v>
      </c>
      <c r="C246" s="19">
        <v>3.751186329451367E-2</v>
      </c>
      <c r="D246" s="19">
        <v>0.32878851690198035</v>
      </c>
      <c r="E246" s="23">
        <v>0.42083064278255883</v>
      </c>
      <c r="F246" s="19">
        <v>8.3123102751770289E-2</v>
      </c>
      <c r="G246" s="19">
        <v>1.9409324204099722E-2</v>
      </c>
    </row>
    <row r="247" spans="2:7" x14ac:dyDescent="0.3">
      <c r="B247" s="4" t="s">
        <v>15</v>
      </c>
      <c r="C247" s="23">
        <v>0.45699859553496858</v>
      </c>
      <c r="D247" s="19">
        <v>3.704836994183466E-4</v>
      </c>
      <c r="E247" s="19">
        <v>9.2588186172354696E-3</v>
      </c>
      <c r="F247" s="19">
        <v>3.0445173799286598E-3</v>
      </c>
      <c r="G247" s="19">
        <v>5.950972187739819E-2</v>
      </c>
    </row>
    <row r="248" spans="2:7" x14ac:dyDescent="0.3">
      <c r="B248" s="4" t="s">
        <v>16</v>
      </c>
      <c r="C248" s="19">
        <v>0.25041484428836941</v>
      </c>
      <c r="D248" s="19">
        <v>0.12927378925828173</v>
      </c>
      <c r="E248" s="19">
        <v>4.4548570866182078E-3</v>
      </c>
      <c r="F248" s="23">
        <v>0.50590751843080217</v>
      </c>
      <c r="G248" s="19">
        <v>6.8665135105726083E-2</v>
      </c>
    </row>
    <row r="249" spans="2:7" x14ac:dyDescent="0.3">
      <c r="B249" s="4" t="s">
        <v>17</v>
      </c>
      <c r="C249" s="23">
        <v>0.80603193661667694</v>
      </c>
      <c r="D249" s="19">
        <v>3.6374975085310041E-2</v>
      </c>
      <c r="E249" s="19">
        <v>5.1508421506926919E-3</v>
      </c>
      <c r="F249" s="19">
        <v>9.2572603938762543E-3</v>
      </c>
      <c r="G249" s="19">
        <v>5.6517411365989714E-2</v>
      </c>
    </row>
    <row r="250" spans="2:7" x14ac:dyDescent="0.3">
      <c r="B250" s="4" t="s">
        <v>18</v>
      </c>
      <c r="C250" s="23">
        <v>0.61655543335490115</v>
      </c>
      <c r="D250" s="19">
        <v>0.18935715992308605</v>
      </c>
      <c r="E250" s="19">
        <v>4.7547645530411194E-2</v>
      </c>
      <c r="F250" s="19">
        <v>5.8270434702872798E-2</v>
      </c>
      <c r="G250" s="19">
        <v>2.5880267429542289E-2</v>
      </c>
    </row>
    <row r="251" spans="2:7" x14ac:dyDescent="0.3">
      <c r="B251" s="4" t="s">
        <v>19</v>
      </c>
      <c r="C251" s="23">
        <v>0.70617256928442995</v>
      </c>
      <c r="D251" s="19">
        <v>7.9441906713263039E-2</v>
      </c>
      <c r="E251" s="19">
        <v>5.9197647245386641E-2</v>
      </c>
      <c r="F251" s="19">
        <v>3.5726313979927791E-3</v>
      </c>
      <c r="G251" s="19">
        <v>1.4818610776320535E-2</v>
      </c>
    </row>
    <row r="252" spans="2:7" x14ac:dyDescent="0.3">
      <c r="B252" s="4" t="s">
        <v>20</v>
      </c>
      <c r="C252" s="19">
        <v>0.12757744241669572</v>
      </c>
      <c r="D252" s="19">
        <v>0.12039767628835765</v>
      </c>
      <c r="E252" s="19">
        <v>4.3407824633304205E-2</v>
      </c>
      <c r="F252" s="23">
        <v>0.33742657903578843</v>
      </c>
      <c r="G252" s="19">
        <v>0.32433761835366315</v>
      </c>
    </row>
    <row r="253" spans="2:7" x14ac:dyDescent="0.3">
      <c r="B253" s="4" t="s">
        <v>21</v>
      </c>
      <c r="C253" s="19">
        <v>0.20716701463222906</v>
      </c>
      <c r="D253" s="19">
        <v>0.11531331595053659</v>
      </c>
      <c r="E253" s="19">
        <v>6.2967180499622676E-3</v>
      </c>
      <c r="F253" s="19">
        <v>0.14543814287796664</v>
      </c>
      <c r="G253" s="23">
        <v>0.24850105157387153</v>
      </c>
    </row>
    <row r="254" spans="2:7" x14ac:dyDescent="0.3">
      <c r="B254" s="4" t="s">
        <v>22</v>
      </c>
      <c r="C254" s="23">
        <v>0.83823772420333587</v>
      </c>
      <c r="D254" s="19">
        <v>6.0721308456931133E-2</v>
      </c>
      <c r="E254" s="19">
        <v>4.6784942561262886E-3</v>
      </c>
      <c r="F254" s="19">
        <v>2.2535740620312068E-2</v>
      </c>
      <c r="G254" s="19">
        <v>1.0358986786910666E-3</v>
      </c>
    </row>
    <row r="255" spans="2:7" x14ac:dyDescent="0.3">
      <c r="B255" s="4" t="s">
        <v>23</v>
      </c>
      <c r="C255" s="19">
        <v>2.6459473505992796E-5</v>
      </c>
      <c r="D255" s="19">
        <v>6.5776039078474697E-4</v>
      </c>
      <c r="E255" s="19">
        <v>0.32867511426942092</v>
      </c>
      <c r="F255" s="19">
        <v>0.15719150698972556</v>
      </c>
      <c r="G255" s="23">
        <v>0.33072668116930237</v>
      </c>
    </row>
    <row r="256" spans="2:7" x14ac:dyDescent="0.3">
      <c r="B256" s="4" t="s">
        <v>24</v>
      </c>
      <c r="C256" s="23">
        <v>0.7802664755708566</v>
      </c>
      <c r="D256" s="19">
        <v>4.5581060471920239E-2</v>
      </c>
      <c r="E256" s="19">
        <v>1.9996947999662201E-2</v>
      </c>
      <c r="F256" s="19">
        <v>5.7710898854499711E-2</v>
      </c>
      <c r="G256" s="19">
        <v>2.5053369949664572E-3</v>
      </c>
    </row>
    <row r="257" spans="2:7" x14ac:dyDescent="0.3">
      <c r="B257" s="4" t="s">
        <v>25</v>
      </c>
      <c r="C257" s="23">
        <v>0.67448911756619367</v>
      </c>
      <c r="D257" s="19">
        <v>7.6995934890448342E-2</v>
      </c>
      <c r="E257" s="19">
        <v>7.3265783132070841E-2</v>
      </c>
      <c r="F257" s="19">
        <v>1.6127891235835034E-2</v>
      </c>
      <c r="G257" s="19">
        <v>7.8638764827514366E-3</v>
      </c>
    </row>
    <row r="258" spans="2:7" ht="15" thickBot="1" x14ac:dyDescent="0.35">
      <c r="B258" s="17" t="s">
        <v>26</v>
      </c>
      <c r="C258" s="25">
        <v>0.71920151568183355</v>
      </c>
      <c r="D258" s="20">
        <v>9.2464890211809286E-2</v>
      </c>
      <c r="E258" s="20">
        <v>8.2235261204255561E-2</v>
      </c>
      <c r="F258" s="20">
        <v>6.2570679294156155E-4</v>
      </c>
      <c r="G258" s="20">
        <v>2.9534173218507827E-2</v>
      </c>
    </row>
    <row r="259" spans="2:7" x14ac:dyDescent="0.3">
      <c r="B259" s="27" t="s">
        <v>378</v>
      </c>
    </row>
    <row r="262" spans="2:7" x14ac:dyDescent="0.3">
      <c r="B262" t="s">
        <v>379</v>
      </c>
    </row>
    <row r="263" spans="2:7" ht="15" thickBot="1" x14ac:dyDescent="0.35"/>
    <row r="264" spans="2:7" x14ac:dyDescent="0.3">
      <c r="B264" s="6"/>
      <c r="C264" s="7" t="s">
        <v>346</v>
      </c>
      <c r="D264" s="7" t="s">
        <v>347</v>
      </c>
      <c r="E264" s="7" t="s">
        <v>348</v>
      </c>
      <c r="F264" s="7" t="s">
        <v>349</v>
      </c>
      <c r="G264" s="7" t="s">
        <v>350</v>
      </c>
    </row>
    <row r="265" spans="2:7" x14ac:dyDescent="0.3">
      <c r="B265" s="16" t="s">
        <v>30</v>
      </c>
      <c r="C265" s="18">
        <v>-2.7700104667885692</v>
      </c>
      <c r="D265" s="18">
        <v>5.1631674639664995</v>
      </c>
      <c r="E265" s="18">
        <v>3.7175152583739615</v>
      </c>
      <c r="F265" s="18">
        <v>2.6632797133282984</v>
      </c>
      <c r="G265" s="18">
        <v>-1.966029218725446</v>
      </c>
    </row>
    <row r="266" spans="2:7" x14ac:dyDescent="0.3">
      <c r="B266" s="4" t="s">
        <v>33</v>
      </c>
      <c r="C266" s="19">
        <v>-2.6693152229172581</v>
      </c>
      <c r="D266" s="19">
        <v>5.2121028939294183</v>
      </c>
      <c r="E266" s="19">
        <v>3.7712840813195507</v>
      </c>
      <c r="F266" s="19">
        <v>2.5846314523471587</v>
      </c>
      <c r="G266" s="19">
        <v>-1.5622913767640219</v>
      </c>
    </row>
    <row r="267" spans="2:7" x14ac:dyDescent="0.3">
      <c r="B267" s="4" t="s">
        <v>36</v>
      </c>
      <c r="C267" s="19">
        <v>-2.9035495123890689</v>
      </c>
      <c r="D267" s="19">
        <v>6.6204529506929841</v>
      </c>
      <c r="E267" s="19">
        <v>4.8560935882896716</v>
      </c>
      <c r="F267" s="19">
        <v>3.2632601814134712</v>
      </c>
      <c r="G267" s="19">
        <v>-2.2539065580823117</v>
      </c>
    </row>
    <row r="268" spans="2:7" x14ac:dyDescent="0.3">
      <c r="B268" s="4" t="s">
        <v>39</v>
      </c>
      <c r="C268" s="19">
        <v>1.7344225528675339</v>
      </c>
      <c r="D268" s="19">
        <v>1.0655772934224628</v>
      </c>
      <c r="E268" s="19">
        <v>-0.88892327058969445</v>
      </c>
      <c r="F268" s="19">
        <v>1.0701211983370795</v>
      </c>
      <c r="G268" s="19">
        <v>0.22418952884584872</v>
      </c>
    </row>
    <row r="269" spans="2:7" x14ac:dyDescent="0.3">
      <c r="B269" s="4" t="s">
        <v>42</v>
      </c>
      <c r="C269" s="19">
        <v>1.2435051828369124</v>
      </c>
      <c r="D269" s="19">
        <v>2.0481183279592559</v>
      </c>
      <c r="E269" s="19">
        <v>-0.92419563619346456</v>
      </c>
      <c r="F269" s="19">
        <v>-0.17283591301142046</v>
      </c>
      <c r="G269" s="19">
        <v>0.20948993067927874</v>
      </c>
    </row>
    <row r="270" spans="2:7" x14ac:dyDescent="0.3">
      <c r="B270" s="4" t="s">
        <v>45</v>
      </c>
      <c r="C270" s="19">
        <v>1.9941909850412014</v>
      </c>
      <c r="D270" s="19">
        <v>0.88145056911490349</v>
      </c>
      <c r="E270" s="19">
        <v>-0.69324848397413896</v>
      </c>
      <c r="F270" s="19">
        <v>0.23782569811822338</v>
      </c>
      <c r="G270" s="19">
        <v>-0.21045647670360518</v>
      </c>
    </row>
    <row r="271" spans="2:7" x14ac:dyDescent="0.3">
      <c r="B271" s="4" t="s">
        <v>48</v>
      </c>
      <c r="C271" s="19">
        <v>1.9509882963164666</v>
      </c>
      <c r="D271" s="19">
        <v>0.90665248750559102</v>
      </c>
      <c r="E271" s="19">
        <v>-0.83999736497744404</v>
      </c>
      <c r="F271" s="19">
        <v>0.47930885601405304</v>
      </c>
      <c r="G271" s="19">
        <v>-0.18431509458302914</v>
      </c>
    </row>
    <row r="272" spans="2:7" x14ac:dyDescent="0.3">
      <c r="B272" s="4" t="s">
        <v>51</v>
      </c>
      <c r="C272" s="19">
        <v>1.3737116003663408</v>
      </c>
      <c r="D272" s="19">
        <v>1.9858608101360089</v>
      </c>
      <c r="E272" s="19">
        <v>-1.1055420471337716</v>
      </c>
      <c r="F272" s="19">
        <v>-0.54501784192874581</v>
      </c>
      <c r="G272" s="19">
        <v>0.89533825594468697</v>
      </c>
    </row>
    <row r="273" spans="2:7" x14ac:dyDescent="0.3">
      <c r="B273" s="4" t="s">
        <v>54</v>
      </c>
      <c r="C273" s="19">
        <v>1.7856672549536377</v>
      </c>
      <c r="D273" s="19">
        <v>2.5250301818908567</v>
      </c>
      <c r="E273" s="19">
        <v>-0.49578236241064455</v>
      </c>
      <c r="F273" s="19">
        <v>0.18494799264429748</v>
      </c>
      <c r="G273" s="19">
        <v>0.26810339139442557</v>
      </c>
    </row>
    <row r="274" spans="2:7" x14ac:dyDescent="0.3">
      <c r="B274" s="4" t="s">
        <v>57</v>
      </c>
      <c r="C274" s="19">
        <v>1.0609851364915721</v>
      </c>
      <c r="D274" s="19">
        <v>1.5386720705350103</v>
      </c>
      <c r="E274" s="19">
        <v>-0.96929626681076475</v>
      </c>
      <c r="F274" s="19">
        <v>7.7789710847874449E-2</v>
      </c>
      <c r="G274" s="19">
        <v>0.1744334119493145</v>
      </c>
    </row>
    <row r="275" spans="2:7" x14ac:dyDescent="0.3">
      <c r="B275" s="4" t="s">
        <v>60</v>
      </c>
      <c r="C275" s="19">
        <v>1.5298188280466478</v>
      </c>
      <c r="D275" s="19">
        <v>2.3354616851339189</v>
      </c>
      <c r="E275" s="19">
        <v>-0.92764774459746602</v>
      </c>
      <c r="F275" s="19">
        <v>-0.40512150474487668</v>
      </c>
      <c r="G275" s="19">
        <v>1.0268043939804676</v>
      </c>
    </row>
    <row r="276" spans="2:7" x14ac:dyDescent="0.3">
      <c r="B276" s="4" t="s">
        <v>63</v>
      </c>
      <c r="C276" s="19">
        <v>-1.7807359408741863</v>
      </c>
      <c r="D276" s="19">
        <v>-0.9793772105055556</v>
      </c>
      <c r="E276" s="19">
        <v>-1.0740810604449054</v>
      </c>
      <c r="F276" s="19">
        <v>0.10419000537370249</v>
      </c>
      <c r="G276" s="19">
        <v>-0.35800279918014322</v>
      </c>
    </row>
    <row r="277" spans="2:7" x14ac:dyDescent="0.3">
      <c r="B277" s="4" t="s">
        <v>66</v>
      </c>
      <c r="C277" s="19">
        <v>-1.6946330745298233</v>
      </c>
      <c r="D277" s="19">
        <v>-1.491865303856454</v>
      </c>
      <c r="E277" s="19">
        <v>-0.80503577140855787</v>
      </c>
      <c r="F277" s="19">
        <v>-1.11946563031197E-2</v>
      </c>
      <c r="G277" s="19">
        <v>-8.7057115709672395E-2</v>
      </c>
    </row>
    <row r="278" spans="2:7" x14ac:dyDescent="0.3">
      <c r="B278" s="4" t="s">
        <v>69</v>
      </c>
      <c r="C278" s="19">
        <v>-1.7342345383180762</v>
      </c>
      <c r="D278" s="19">
        <v>-1.2453165293960811</v>
      </c>
      <c r="E278" s="19">
        <v>-0.99406378861075595</v>
      </c>
      <c r="F278" s="19">
        <v>-0.34624708106400526</v>
      </c>
      <c r="G278" s="19">
        <v>0.10949298358240719</v>
      </c>
    </row>
    <row r="279" spans="2:7" x14ac:dyDescent="0.3">
      <c r="B279" s="4" t="s">
        <v>72</v>
      </c>
      <c r="C279" s="19">
        <v>-1.5659010878296575</v>
      </c>
      <c r="D279" s="19">
        <v>-0.99442547201084508</v>
      </c>
      <c r="E279" s="19">
        <v>-0.93336870111966741</v>
      </c>
      <c r="F279" s="19">
        <v>-7.5197281530947735E-2</v>
      </c>
      <c r="G279" s="19">
        <v>-6.6987649670192578E-2</v>
      </c>
    </row>
    <row r="280" spans="2:7" x14ac:dyDescent="0.3">
      <c r="B280" s="4" t="s">
        <v>75</v>
      </c>
      <c r="C280" s="19">
        <v>-1.734358629325321</v>
      </c>
      <c r="D280" s="19">
        <v>-1.185635388695752</v>
      </c>
      <c r="E280" s="19">
        <v>-1.278796847746499</v>
      </c>
      <c r="F280" s="19">
        <v>-1.0855025108496945E-2</v>
      </c>
      <c r="G280" s="19">
        <v>-0.19969814535020436</v>
      </c>
    </row>
    <row r="281" spans="2:7" x14ac:dyDescent="0.3">
      <c r="B281" s="4" t="s">
        <v>78</v>
      </c>
      <c r="C281" s="19">
        <v>-1.7657616908505989</v>
      </c>
      <c r="D281" s="19">
        <v>1.2914425077294598</v>
      </c>
      <c r="E281" s="19">
        <v>0.52225893708692095</v>
      </c>
      <c r="F281" s="19">
        <v>0.53113006548825115</v>
      </c>
      <c r="G281" s="19">
        <v>-0.28357683018756535</v>
      </c>
    </row>
    <row r="282" spans="2:7" x14ac:dyDescent="0.3">
      <c r="B282" s="4" t="s">
        <v>81</v>
      </c>
      <c r="C282" s="19">
        <v>1.8729999208483048</v>
      </c>
      <c r="D282" s="19">
        <v>1.9218402591999537</v>
      </c>
      <c r="E282" s="19">
        <v>-1.2053062147444178</v>
      </c>
      <c r="F282" s="19">
        <v>-0.2013978157074845</v>
      </c>
      <c r="G282" s="19">
        <v>0.46683644927815049</v>
      </c>
    </row>
    <row r="283" spans="2:7" x14ac:dyDescent="0.3">
      <c r="B283" s="4" t="s">
        <v>84</v>
      </c>
      <c r="C283" s="19">
        <v>3.1990037565171523</v>
      </c>
      <c r="D283" s="19">
        <v>-0.25146525038021139</v>
      </c>
      <c r="E283" s="19">
        <v>-0.60161250223403517</v>
      </c>
      <c r="F283" s="19">
        <v>1.0199373162037171</v>
      </c>
      <c r="G283" s="19">
        <v>0.57668607445061837</v>
      </c>
    </row>
    <row r="284" spans="2:7" x14ac:dyDescent="0.3">
      <c r="B284" s="4" t="s">
        <v>87</v>
      </c>
      <c r="C284" s="19">
        <v>0.87280074351675407</v>
      </c>
      <c r="D284" s="19">
        <v>1.9822948932692452</v>
      </c>
      <c r="E284" s="19">
        <v>-0.87601526857180345</v>
      </c>
      <c r="F284" s="19">
        <v>0.18093667496941329</v>
      </c>
      <c r="G284" s="19">
        <v>0.22377103851306079</v>
      </c>
    </row>
    <row r="285" spans="2:7" x14ac:dyDescent="0.3">
      <c r="B285" s="4" t="s">
        <v>90</v>
      </c>
      <c r="C285" s="19">
        <v>4.4391324470032814</v>
      </c>
      <c r="D285" s="19">
        <v>-0.82222849977663881</v>
      </c>
      <c r="E285" s="19">
        <v>1.9297979735939488</v>
      </c>
      <c r="F285" s="19">
        <v>1.0277014885707225</v>
      </c>
      <c r="G285" s="19">
        <v>6.3551430028036884E-3</v>
      </c>
    </row>
    <row r="286" spans="2:7" x14ac:dyDescent="0.3">
      <c r="B286" s="4" t="s">
        <v>93</v>
      </c>
      <c r="C286" s="19">
        <v>1.7370561389722357</v>
      </c>
      <c r="D286" s="19">
        <v>1.6079030601955102</v>
      </c>
      <c r="E286" s="19">
        <v>-1.2367327608660117</v>
      </c>
      <c r="F286" s="19">
        <v>-0.13237132510011129</v>
      </c>
      <c r="G286" s="19">
        <v>0.20738443593130235</v>
      </c>
    </row>
    <row r="287" spans="2:7" x14ac:dyDescent="0.3">
      <c r="B287" s="4" t="s">
        <v>96</v>
      </c>
      <c r="C287" s="19">
        <v>2.1856132172238789</v>
      </c>
      <c r="D287" s="19">
        <v>2.2494045071718989</v>
      </c>
      <c r="E287" s="19">
        <v>-1.1349601622859391</v>
      </c>
      <c r="F287" s="19">
        <v>0.19704591551885797</v>
      </c>
      <c r="G287" s="19">
        <v>0.25826311541277125</v>
      </c>
    </row>
    <row r="288" spans="2:7" x14ac:dyDescent="0.3">
      <c r="B288" s="4" t="s">
        <v>99</v>
      </c>
      <c r="C288" s="19">
        <v>1.4955331233917648</v>
      </c>
      <c r="D288" s="19">
        <v>1.3766225668340186</v>
      </c>
      <c r="E288" s="19">
        <v>-0.57479959785313761</v>
      </c>
      <c r="F288" s="19">
        <v>0.1936546082650677</v>
      </c>
      <c r="G288" s="19">
        <v>-0.79224580195260208</v>
      </c>
    </row>
    <row r="289" spans="2:7" x14ac:dyDescent="0.3">
      <c r="B289" s="4" t="s">
        <v>102</v>
      </c>
      <c r="C289" s="19">
        <v>1.4788644700082378</v>
      </c>
      <c r="D289" s="19">
        <v>2.1187926480743577</v>
      </c>
      <c r="E289" s="19">
        <v>-1.1667269944609133</v>
      </c>
      <c r="F289" s="19">
        <v>-0.4995243806725661</v>
      </c>
      <c r="G289" s="19">
        <v>0.96684275986057666</v>
      </c>
    </row>
    <row r="290" spans="2:7" x14ac:dyDescent="0.3">
      <c r="B290" s="4" t="s">
        <v>105</v>
      </c>
      <c r="C290" s="19">
        <v>0.96243773729951776</v>
      </c>
      <c r="D290" s="19">
        <v>1.4224695930286981</v>
      </c>
      <c r="E290" s="19">
        <v>-1.1215658993395465</v>
      </c>
      <c r="F290" s="19">
        <v>-0.66189195664348377</v>
      </c>
      <c r="G290" s="19">
        <v>0.55167900214564614</v>
      </c>
    </row>
    <row r="291" spans="2:7" x14ac:dyDescent="0.3">
      <c r="B291" s="4" t="s">
        <v>108</v>
      </c>
      <c r="C291" s="19">
        <v>0.39410999401084557</v>
      </c>
      <c r="D291" s="19">
        <v>1.3502756144093269</v>
      </c>
      <c r="E291" s="19">
        <v>-1.0586292809219686</v>
      </c>
      <c r="F291" s="19">
        <v>-1.8674047087700318E-2</v>
      </c>
      <c r="G291" s="19">
        <v>0.11835710966097507</v>
      </c>
    </row>
    <row r="292" spans="2:7" x14ac:dyDescent="0.3">
      <c r="B292" s="4" t="s">
        <v>111</v>
      </c>
      <c r="C292" s="19">
        <v>0.75910221262003541</v>
      </c>
      <c r="D292" s="19">
        <v>0.88598237228904408</v>
      </c>
      <c r="E292" s="19">
        <v>-1.54299484713095</v>
      </c>
      <c r="F292" s="19">
        <v>-0.27015964128977299</v>
      </c>
      <c r="G292" s="19">
        <v>0.34493587961012412</v>
      </c>
    </row>
    <row r="293" spans="2:7" x14ac:dyDescent="0.3">
      <c r="B293" s="4" t="s">
        <v>114</v>
      </c>
      <c r="C293" s="19">
        <v>2.476185508459515</v>
      </c>
      <c r="D293" s="19">
        <v>1.5623038367863737</v>
      </c>
      <c r="E293" s="19">
        <v>-0.98624136462812295</v>
      </c>
      <c r="F293" s="19">
        <v>-0.27395329606297947</v>
      </c>
      <c r="G293" s="19">
        <v>0.33308265905751411</v>
      </c>
    </row>
    <row r="294" spans="2:7" x14ac:dyDescent="0.3">
      <c r="B294" s="4" t="s">
        <v>117</v>
      </c>
      <c r="C294" s="19">
        <v>1.2543099515600431</v>
      </c>
      <c r="D294" s="19">
        <v>2.1040513052868053</v>
      </c>
      <c r="E294" s="19">
        <v>-1.0028946098008182</v>
      </c>
      <c r="F294" s="19">
        <v>-6.2746234195214842E-2</v>
      </c>
      <c r="G294" s="19">
        <v>0.29886924717560398</v>
      </c>
    </row>
    <row r="295" spans="2:7" x14ac:dyDescent="0.3">
      <c r="B295" s="4" t="s">
        <v>120</v>
      </c>
      <c r="C295" s="19">
        <v>-1.7150662137549832</v>
      </c>
      <c r="D295" s="19">
        <v>0.43420761487781934</v>
      </c>
      <c r="E295" s="19">
        <v>0.11334635342791846</v>
      </c>
      <c r="F295" s="19">
        <v>0.67779492662160867</v>
      </c>
      <c r="G295" s="19">
        <v>-0.47725205273209614</v>
      </c>
    </row>
    <row r="296" spans="2:7" x14ac:dyDescent="0.3">
      <c r="B296" s="4" t="s">
        <v>123</v>
      </c>
      <c r="C296" s="19">
        <v>2.9130453844624338</v>
      </c>
      <c r="D296" s="19">
        <v>2.6518994245559968</v>
      </c>
      <c r="E296" s="19">
        <v>-0.49162997248426366</v>
      </c>
      <c r="F296" s="19">
        <v>-1.046408314788895</v>
      </c>
      <c r="G296" s="19">
        <v>1.6767276347559654</v>
      </c>
    </row>
    <row r="297" spans="2:7" x14ac:dyDescent="0.3">
      <c r="B297" s="4" t="s">
        <v>126</v>
      </c>
      <c r="C297" s="19">
        <v>3.0147542680708397</v>
      </c>
      <c r="D297" s="19">
        <v>2.4196732994260928</v>
      </c>
      <c r="E297" s="19">
        <v>-1.5749783716968115</v>
      </c>
      <c r="F297" s="19">
        <v>-0.84139491503399566</v>
      </c>
      <c r="G297" s="19">
        <v>1.6621899492855374</v>
      </c>
    </row>
    <row r="298" spans="2:7" x14ac:dyDescent="0.3">
      <c r="B298" s="4" t="s">
        <v>129</v>
      </c>
      <c r="C298" s="19">
        <v>1.0034163067494519</v>
      </c>
      <c r="D298" s="19">
        <v>2.0720098993317082</v>
      </c>
      <c r="E298" s="19">
        <v>-1.0459436362242329</v>
      </c>
      <c r="F298" s="19">
        <v>-0.13514730831303562</v>
      </c>
      <c r="G298" s="19">
        <v>0.1822746957701612</v>
      </c>
    </row>
    <row r="299" spans="2:7" x14ac:dyDescent="0.3">
      <c r="B299" s="4" t="s">
        <v>132</v>
      </c>
      <c r="C299" s="19">
        <v>1.5409494784099538</v>
      </c>
      <c r="D299" s="19">
        <v>1.9467350203041198</v>
      </c>
      <c r="E299" s="19">
        <v>-1.2538469153853007</v>
      </c>
      <c r="F299" s="19">
        <v>-0.30908610880045267</v>
      </c>
      <c r="G299" s="19">
        <v>0.65594584633290465</v>
      </c>
    </row>
    <row r="300" spans="2:7" x14ac:dyDescent="0.3">
      <c r="B300" s="4" t="s">
        <v>135</v>
      </c>
      <c r="C300" s="19">
        <v>-1.1193755027885457</v>
      </c>
      <c r="D300" s="19">
        <v>0.1516997540541371</v>
      </c>
      <c r="E300" s="19">
        <v>-1.1123014766542554</v>
      </c>
      <c r="F300" s="19">
        <v>-0.19782864037369211</v>
      </c>
      <c r="G300" s="19">
        <v>0.19247560246528886</v>
      </c>
    </row>
    <row r="301" spans="2:7" x14ac:dyDescent="0.3">
      <c r="B301" s="4" t="s">
        <v>138</v>
      </c>
      <c r="C301" s="19">
        <v>-0.87743306801363319</v>
      </c>
      <c r="D301" s="19">
        <v>-4.4321423262626516E-2</v>
      </c>
      <c r="E301" s="19">
        <v>-1.2690098660333</v>
      </c>
      <c r="F301" s="19">
        <v>-0.42254198268975157</v>
      </c>
      <c r="G301" s="19">
        <v>0.49399781534647369</v>
      </c>
    </row>
    <row r="302" spans="2:7" x14ac:dyDescent="0.3">
      <c r="B302" s="4" t="s">
        <v>141</v>
      </c>
      <c r="C302" s="19">
        <v>2.3927991450639832</v>
      </c>
      <c r="D302" s="19">
        <v>1.9924197442036244</v>
      </c>
      <c r="E302" s="19">
        <v>-1.3674240444034917</v>
      </c>
      <c r="F302" s="19">
        <v>-1.0461407008798009</v>
      </c>
      <c r="G302" s="19">
        <v>1.4926606795804207</v>
      </c>
    </row>
    <row r="303" spans="2:7" x14ac:dyDescent="0.3">
      <c r="B303" s="4" t="s">
        <v>144</v>
      </c>
      <c r="C303" s="19">
        <v>2.0922384811666066</v>
      </c>
      <c r="D303" s="19">
        <v>1.4615833679551953</v>
      </c>
      <c r="E303" s="19">
        <v>-0.823086384279207</v>
      </c>
      <c r="F303" s="19">
        <v>0.25352333622978679</v>
      </c>
      <c r="G303" s="19">
        <v>0.444786444691884</v>
      </c>
    </row>
    <row r="304" spans="2:7" x14ac:dyDescent="0.3">
      <c r="B304" s="4" t="s">
        <v>147</v>
      </c>
      <c r="C304" s="19">
        <v>2.6829535524811057</v>
      </c>
      <c r="D304" s="19">
        <v>1.8423734306664454</v>
      </c>
      <c r="E304" s="19">
        <v>-1.1813091403311087</v>
      </c>
      <c r="F304" s="19">
        <v>0.13492778854400914</v>
      </c>
      <c r="G304" s="19">
        <v>8.2889029368191647E-2</v>
      </c>
    </row>
    <row r="305" spans="2:7" x14ac:dyDescent="0.3">
      <c r="B305" s="4" t="s">
        <v>150</v>
      </c>
      <c r="C305" s="19">
        <v>1.666954766775407</v>
      </c>
      <c r="D305" s="19">
        <v>1.5495380927565499</v>
      </c>
      <c r="E305" s="19">
        <v>-1.4152426340368081</v>
      </c>
      <c r="F305" s="19">
        <v>-7.7116939949331831E-2</v>
      </c>
      <c r="G305" s="19">
        <v>-5.5875037884468848E-3</v>
      </c>
    </row>
    <row r="306" spans="2:7" x14ac:dyDescent="0.3">
      <c r="B306" s="4" t="s">
        <v>153</v>
      </c>
      <c r="C306" s="19">
        <v>1.7173372361938557</v>
      </c>
      <c r="D306" s="19">
        <v>2.7461826637884457</v>
      </c>
      <c r="E306" s="19">
        <v>-0.25734311141510807</v>
      </c>
      <c r="F306" s="19">
        <v>-0.48412470705815369</v>
      </c>
      <c r="G306" s="19">
        <v>1.2169933924099323</v>
      </c>
    </row>
    <row r="307" spans="2:7" x14ac:dyDescent="0.3">
      <c r="B307" s="4" t="s">
        <v>156</v>
      </c>
      <c r="C307" s="19">
        <v>1.4057315719125594</v>
      </c>
      <c r="D307" s="19">
        <v>1.6734982378685381</v>
      </c>
      <c r="E307" s="19">
        <v>-0.65586700826206323</v>
      </c>
      <c r="F307" s="19">
        <v>-0.5207082119056029</v>
      </c>
      <c r="G307" s="19">
        <v>0.25242461191976184</v>
      </c>
    </row>
    <row r="308" spans="2:7" x14ac:dyDescent="0.3">
      <c r="B308" s="4" t="s">
        <v>159</v>
      </c>
      <c r="C308" s="19">
        <v>1.6575182368052235</v>
      </c>
      <c r="D308" s="19">
        <v>2.1767550935826021</v>
      </c>
      <c r="E308" s="19">
        <v>-1.3620440887113237</v>
      </c>
      <c r="F308" s="19">
        <v>-0.83528593596764167</v>
      </c>
      <c r="G308" s="19">
        <v>1.0412137466037301</v>
      </c>
    </row>
    <row r="309" spans="2:7" x14ac:dyDescent="0.3">
      <c r="B309" s="4" t="s">
        <v>162</v>
      </c>
      <c r="C309" s="19">
        <v>1.4599321851782432</v>
      </c>
      <c r="D309" s="19">
        <v>0.9221235897401483</v>
      </c>
      <c r="E309" s="19">
        <v>-1.293536861208552</v>
      </c>
      <c r="F309" s="19">
        <v>-0.92415956580916914</v>
      </c>
      <c r="G309" s="19">
        <v>1.3862547836258765</v>
      </c>
    </row>
    <row r="310" spans="2:7" x14ac:dyDescent="0.3">
      <c r="B310" s="4" t="s">
        <v>165</v>
      </c>
      <c r="C310" s="19">
        <v>1.1212470077135848</v>
      </c>
      <c r="D310" s="19">
        <v>1.3548390407530491</v>
      </c>
      <c r="E310" s="19">
        <v>-0.15788036607901978</v>
      </c>
      <c r="F310" s="19">
        <v>1.1430364814680767E-2</v>
      </c>
      <c r="G310" s="19">
        <v>0.29086340667937394</v>
      </c>
    </row>
    <row r="311" spans="2:7" x14ac:dyDescent="0.3">
      <c r="B311" s="4" t="s">
        <v>168</v>
      </c>
      <c r="C311" s="19">
        <v>1.7918784720490051</v>
      </c>
      <c r="D311" s="19">
        <v>1.7698862356276062</v>
      </c>
      <c r="E311" s="19">
        <v>-1.5256195721865851</v>
      </c>
      <c r="F311" s="19">
        <v>-0.72519375935972519</v>
      </c>
      <c r="G311" s="19">
        <v>0.77385999349554424</v>
      </c>
    </row>
    <row r="312" spans="2:7" x14ac:dyDescent="0.3">
      <c r="B312" s="4" t="s">
        <v>171</v>
      </c>
      <c r="C312" s="19">
        <v>1.2219170028170436</v>
      </c>
      <c r="D312" s="19">
        <v>0.78966007736569455</v>
      </c>
      <c r="E312" s="19">
        <v>-0.55435805075320177</v>
      </c>
      <c r="F312" s="19">
        <v>-0.44496500576185838</v>
      </c>
      <c r="G312" s="19">
        <v>0.49905229139266361</v>
      </c>
    </row>
    <row r="313" spans="2:7" x14ac:dyDescent="0.3">
      <c r="B313" s="4" t="s">
        <v>174</v>
      </c>
      <c r="C313" s="19">
        <v>-2.3397705920288696</v>
      </c>
      <c r="D313" s="19">
        <v>-0.81591374113328152</v>
      </c>
      <c r="E313" s="19">
        <v>-0.18854270860307371</v>
      </c>
      <c r="F313" s="19">
        <v>0.31141128364522036</v>
      </c>
      <c r="G313" s="19">
        <v>-0.86580858589438658</v>
      </c>
    </row>
    <row r="314" spans="2:7" x14ac:dyDescent="0.3">
      <c r="B314" s="4" t="s">
        <v>177</v>
      </c>
      <c r="C314" s="19">
        <v>-2.5304567012201313</v>
      </c>
      <c r="D314" s="19">
        <v>-0.15619700462512237</v>
      </c>
      <c r="E314" s="19">
        <v>0.31455011630407875</v>
      </c>
      <c r="F314" s="19">
        <v>0.62664391039723411</v>
      </c>
      <c r="G314" s="19">
        <v>-1.0736476217611202</v>
      </c>
    </row>
    <row r="315" spans="2:7" x14ac:dyDescent="0.3">
      <c r="B315" s="4" t="s">
        <v>180</v>
      </c>
      <c r="C315" s="19">
        <v>-2.6048471641057938</v>
      </c>
      <c r="D315" s="19">
        <v>0.84971362903066927</v>
      </c>
      <c r="E315" s="19">
        <v>0.95130252081866362</v>
      </c>
      <c r="F315" s="19">
        <v>1.0173908684825006</v>
      </c>
      <c r="G315" s="19">
        <v>-1.2646784477334607</v>
      </c>
    </row>
    <row r="316" spans="2:7" x14ac:dyDescent="0.3">
      <c r="B316" s="4" t="s">
        <v>183</v>
      </c>
      <c r="C316" s="19">
        <v>-2.5617776559124308</v>
      </c>
      <c r="D316" s="19">
        <v>1.55627625132429</v>
      </c>
      <c r="E316" s="19">
        <v>1.3829628587565024</v>
      </c>
      <c r="F316" s="19">
        <v>1.3112257106174217</v>
      </c>
      <c r="G316" s="19">
        <v>-1.4681245953868367</v>
      </c>
    </row>
    <row r="317" spans="2:7" x14ac:dyDescent="0.3">
      <c r="B317" s="4" t="s">
        <v>186</v>
      </c>
      <c r="C317" s="19">
        <v>-2.3049662356980631</v>
      </c>
      <c r="D317" s="19">
        <v>6.9710887353716416E-2</v>
      </c>
      <c r="E317" s="19">
        <v>0.83213542159463394</v>
      </c>
      <c r="F317" s="19">
        <v>0.56912967941353387</v>
      </c>
      <c r="G317" s="19">
        <v>-0.85572072087307316</v>
      </c>
    </row>
    <row r="318" spans="2:7" x14ac:dyDescent="0.3">
      <c r="B318" s="4" t="s">
        <v>189</v>
      </c>
      <c r="C318" s="19">
        <v>-2.3069441756775273</v>
      </c>
      <c r="D318" s="19">
        <v>-0.689249022703185</v>
      </c>
      <c r="E318" s="19">
        <v>-0.30489378261476968</v>
      </c>
      <c r="F318" s="19">
        <v>0.34300113879859162</v>
      </c>
      <c r="G318" s="19">
        <v>-0.90592079328424524</v>
      </c>
    </row>
    <row r="319" spans="2:7" x14ac:dyDescent="0.3">
      <c r="B319" s="4" t="s">
        <v>192</v>
      </c>
      <c r="C319" s="19">
        <v>-2.0718546908689985</v>
      </c>
      <c r="D319" s="19">
        <v>-0.17208551279584716</v>
      </c>
      <c r="E319" s="19">
        <v>0.21192793908252211</v>
      </c>
      <c r="F319" s="19">
        <v>0.50131859489581176</v>
      </c>
      <c r="G319" s="19">
        <v>-0.68583341035707102</v>
      </c>
    </row>
    <row r="320" spans="2:7" x14ac:dyDescent="0.3">
      <c r="B320" s="4" t="s">
        <v>195</v>
      </c>
      <c r="C320" s="19">
        <v>-1.8148943511814741</v>
      </c>
      <c r="D320" s="19">
        <v>-1.3737350729358553</v>
      </c>
      <c r="E320" s="19">
        <v>-0.25251247937458199</v>
      </c>
      <c r="F320" s="19">
        <v>-0.1748741555539112</v>
      </c>
      <c r="G320" s="19">
        <v>-0.62644917121103583</v>
      </c>
    </row>
    <row r="321" spans="2:7" x14ac:dyDescent="0.3">
      <c r="B321" s="4" t="s">
        <v>198</v>
      </c>
      <c r="C321" s="19">
        <v>-2.4014342563981064</v>
      </c>
      <c r="D321" s="19">
        <v>-0.20845510909858894</v>
      </c>
      <c r="E321" s="19">
        <v>0.73298501495117385</v>
      </c>
      <c r="F321" s="19">
        <v>0.60448772950164986</v>
      </c>
      <c r="G321" s="19">
        <v>-1.1617802112103877</v>
      </c>
    </row>
    <row r="322" spans="2:7" x14ac:dyDescent="0.3">
      <c r="B322" s="4" t="s">
        <v>201</v>
      </c>
      <c r="C322" s="19">
        <v>-2.4020792254855836</v>
      </c>
      <c r="D322" s="19">
        <v>-1.5494894247043023</v>
      </c>
      <c r="E322" s="19">
        <v>-0.90823598901673397</v>
      </c>
      <c r="F322" s="19">
        <v>7.3789712260670104E-2</v>
      </c>
      <c r="G322" s="19">
        <v>-0.70346209702342088</v>
      </c>
    </row>
    <row r="323" spans="2:7" x14ac:dyDescent="0.3">
      <c r="B323" s="4" t="s">
        <v>204</v>
      </c>
      <c r="C323" s="19">
        <v>-2.3767343627227944</v>
      </c>
      <c r="D323" s="19">
        <v>-1.5402377906425293</v>
      </c>
      <c r="E323" s="19">
        <v>-0.64455663805042129</v>
      </c>
      <c r="F323" s="19">
        <v>3.6604482403523091E-2</v>
      </c>
      <c r="G323" s="19">
        <v>-0.7329679098632943</v>
      </c>
    </row>
    <row r="324" spans="2:7" x14ac:dyDescent="0.3">
      <c r="B324" s="4" t="s">
        <v>207</v>
      </c>
      <c r="C324" s="19">
        <v>7.5240689164632562</v>
      </c>
      <c r="D324" s="19">
        <v>-5.8160511989105634</v>
      </c>
      <c r="E324" s="19">
        <v>0.72456541997831014</v>
      </c>
      <c r="F324" s="19">
        <v>10.744350332718323</v>
      </c>
      <c r="G324" s="19">
        <v>4.9860426419880186</v>
      </c>
    </row>
    <row r="325" spans="2:7" x14ac:dyDescent="0.3">
      <c r="B325" s="4" t="s">
        <v>210</v>
      </c>
      <c r="C325" s="19">
        <v>-3.3640780446396787</v>
      </c>
      <c r="D325" s="19">
        <v>-0.74044932046244583</v>
      </c>
      <c r="E325" s="19">
        <v>0.54057233759231482</v>
      </c>
      <c r="F325" s="19">
        <v>-1.3605473893758026E-3</v>
      </c>
      <c r="G325" s="19">
        <v>-0.70798540772063168</v>
      </c>
    </row>
    <row r="326" spans="2:7" x14ac:dyDescent="0.3">
      <c r="B326" s="4" t="s">
        <v>213</v>
      </c>
      <c r="C326" s="19">
        <v>-3.306525997298766</v>
      </c>
      <c r="D326" s="19">
        <v>-1.1468213003834273</v>
      </c>
      <c r="E326" s="19">
        <v>-4.583514241152109E-2</v>
      </c>
      <c r="F326" s="19">
        <v>-0.25934105386034234</v>
      </c>
      <c r="G326" s="19">
        <v>0.15715385754520983</v>
      </c>
    </row>
    <row r="327" spans="2:7" x14ac:dyDescent="0.3">
      <c r="B327" s="4" t="s">
        <v>216</v>
      </c>
      <c r="C327" s="19">
        <v>-0.343800698961229</v>
      </c>
      <c r="D327" s="19">
        <v>4.1598350578046131E-2</v>
      </c>
      <c r="E327" s="19">
        <v>6.1805777542762685</v>
      </c>
      <c r="F327" s="19">
        <v>-4.0248840478486176</v>
      </c>
      <c r="G327" s="19">
        <v>4.7569376592000827</v>
      </c>
    </row>
    <row r="328" spans="2:7" x14ac:dyDescent="0.3">
      <c r="B328" s="4" t="s">
        <v>219</v>
      </c>
      <c r="C328" s="19">
        <v>-1.7770102670566521</v>
      </c>
      <c r="D328" s="19">
        <v>-0.15928636364244933</v>
      </c>
      <c r="E328" s="19">
        <v>7.3751067217198427</v>
      </c>
      <c r="F328" s="19">
        <v>-1.9242476031784443</v>
      </c>
      <c r="G328" s="19">
        <v>2.7839874875272064</v>
      </c>
    </row>
    <row r="329" spans="2:7" x14ac:dyDescent="0.3">
      <c r="B329" s="4" t="s">
        <v>222</v>
      </c>
      <c r="C329" s="19">
        <v>-2.1476648216577301</v>
      </c>
      <c r="D329" s="19">
        <v>-1.0147455504863458</v>
      </c>
      <c r="E329" s="19">
        <v>0.7690493141186584</v>
      </c>
      <c r="F329" s="19">
        <v>-0.23026288890407429</v>
      </c>
      <c r="G329" s="19">
        <v>-0.7546435677090465</v>
      </c>
    </row>
    <row r="330" spans="2:7" x14ac:dyDescent="0.3">
      <c r="B330" s="4" t="s">
        <v>225</v>
      </c>
      <c r="C330" s="19">
        <v>-3.1451568572930366</v>
      </c>
      <c r="D330" s="19">
        <v>-0.35510365182273262</v>
      </c>
      <c r="E330" s="19">
        <v>1.7931917846096681</v>
      </c>
      <c r="F330" s="19">
        <v>-0.18841474379295442</v>
      </c>
      <c r="G330" s="19">
        <v>-1.0982504032793411E-2</v>
      </c>
    </row>
    <row r="331" spans="2:7" x14ac:dyDescent="0.3">
      <c r="B331" s="4" t="s">
        <v>228</v>
      </c>
      <c r="C331" s="19">
        <v>-2.858609689231606</v>
      </c>
      <c r="D331" s="19">
        <v>-0.22690373064940847</v>
      </c>
      <c r="E331" s="19">
        <v>2.5697321331724896</v>
      </c>
      <c r="F331" s="19">
        <v>-0.54851643184691534</v>
      </c>
      <c r="G331" s="19">
        <v>0.3271972732184234</v>
      </c>
    </row>
    <row r="332" spans="2:7" x14ac:dyDescent="0.3">
      <c r="B332" s="4" t="s">
        <v>231</v>
      </c>
      <c r="C332" s="19">
        <v>-2.6714218443740219</v>
      </c>
      <c r="D332" s="19">
        <v>-5.798995815943337E-2</v>
      </c>
      <c r="E332" s="19">
        <v>1.4284684880106171</v>
      </c>
      <c r="F332" s="19">
        <v>-0.65205207543186805</v>
      </c>
      <c r="G332" s="19">
        <v>1.8433798952978211</v>
      </c>
    </row>
    <row r="333" spans="2:7" x14ac:dyDescent="0.3">
      <c r="B333" s="4" t="s">
        <v>234</v>
      </c>
      <c r="C333" s="19">
        <v>-2.6547786995833653</v>
      </c>
      <c r="D333" s="19">
        <v>-1.1734088534012588</v>
      </c>
      <c r="E333" s="19">
        <v>-2.2912946369757096E-2</v>
      </c>
      <c r="F333" s="19">
        <v>-0.92449394072450519</v>
      </c>
      <c r="G333" s="19">
        <v>1.7329673309023326</v>
      </c>
    </row>
    <row r="334" spans="2:7" x14ac:dyDescent="0.3">
      <c r="B334" s="4" t="s">
        <v>237</v>
      </c>
      <c r="C334" s="19">
        <v>-2.3176880833561926</v>
      </c>
      <c r="D334" s="19">
        <v>-1.441033754395596</v>
      </c>
      <c r="E334" s="19">
        <v>-0.67548694601320469</v>
      </c>
      <c r="F334" s="19">
        <v>0.23894453518020417</v>
      </c>
      <c r="G334" s="19">
        <v>-0.50456581143365076</v>
      </c>
    </row>
    <row r="335" spans="2:7" x14ac:dyDescent="0.3">
      <c r="B335" s="4" t="s">
        <v>240</v>
      </c>
      <c r="C335" s="19">
        <v>-2.2685186614853468</v>
      </c>
      <c r="D335" s="19">
        <v>-1.5903111039999509</v>
      </c>
      <c r="E335" s="19">
        <v>-0.78517874243299002</v>
      </c>
      <c r="F335" s="19">
        <v>6.538286635203823E-2</v>
      </c>
      <c r="G335" s="19">
        <v>-0.8968479820356513</v>
      </c>
    </row>
    <row r="336" spans="2:7" x14ac:dyDescent="0.3">
      <c r="B336" s="4" t="s">
        <v>243</v>
      </c>
      <c r="C336" s="19">
        <v>-2.3043388456406966</v>
      </c>
      <c r="D336" s="19">
        <v>-1.4788383028064485</v>
      </c>
      <c r="E336" s="19">
        <v>-0.66855482191680182</v>
      </c>
      <c r="F336" s="19">
        <v>-2.88531574489761E-3</v>
      </c>
      <c r="G336" s="19">
        <v>-0.59404057493598683</v>
      </c>
    </row>
    <row r="337" spans="2:7" x14ac:dyDescent="0.3">
      <c r="B337" s="4" t="s">
        <v>246</v>
      </c>
      <c r="C337" s="19">
        <v>-2.2391344693294482</v>
      </c>
      <c r="D337" s="19">
        <v>-1.5432219129708005</v>
      </c>
      <c r="E337" s="19">
        <v>-0.88559990068400207</v>
      </c>
      <c r="F337" s="19">
        <v>0.12427048745828473</v>
      </c>
      <c r="G337" s="19">
        <v>-0.84843794990527421</v>
      </c>
    </row>
    <row r="338" spans="2:7" x14ac:dyDescent="0.3">
      <c r="B338" s="4" t="s">
        <v>249</v>
      </c>
      <c r="C338" s="19">
        <v>-2.0306672901917682</v>
      </c>
      <c r="D338" s="19">
        <v>-1.7366382696066478</v>
      </c>
      <c r="E338" s="19">
        <v>-0.71660820775823642</v>
      </c>
      <c r="F338" s="19">
        <v>-4.4094159028253033E-2</v>
      </c>
      <c r="G338" s="19">
        <v>-0.81610125615795404</v>
      </c>
    </row>
    <row r="339" spans="2:7" x14ac:dyDescent="0.3">
      <c r="B339" s="4" t="s">
        <v>252</v>
      </c>
      <c r="C339" s="19">
        <v>-2.3648240272683645</v>
      </c>
      <c r="D339" s="19">
        <v>-1.4439373789600083</v>
      </c>
      <c r="E339" s="19">
        <v>-0.86313366199545283</v>
      </c>
      <c r="F339" s="19">
        <v>4.9772154757977916E-2</v>
      </c>
      <c r="G339" s="19">
        <v>-0.59772101068550221</v>
      </c>
    </row>
    <row r="340" spans="2:7" x14ac:dyDescent="0.3">
      <c r="B340" s="4" t="s">
        <v>255</v>
      </c>
      <c r="C340" s="19">
        <v>-2.240868276307542</v>
      </c>
      <c r="D340" s="19">
        <v>-1.5850501713678793</v>
      </c>
      <c r="E340" s="19">
        <v>-0.90629501615016639</v>
      </c>
      <c r="F340" s="19">
        <v>0.13399563724144453</v>
      </c>
      <c r="G340" s="19">
        <v>-0.83686995534537301</v>
      </c>
    </row>
    <row r="341" spans="2:7" x14ac:dyDescent="0.3">
      <c r="B341" s="4" t="s">
        <v>258</v>
      </c>
      <c r="C341" s="19">
        <v>-2.0457746177404372</v>
      </c>
      <c r="D341" s="19">
        <v>-1.6052629227800157</v>
      </c>
      <c r="E341" s="19">
        <v>-0.88025434453847351</v>
      </c>
      <c r="F341" s="19">
        <v>0.11664105998820976</v>
      </c>
      <c r="G341" s="19">
        <v>-0.89152494537768268</v>
      </c>
    </row>
    <row r="342" spans="2:7" x14ac:dyDescent="0.3">
      <c r="B342" s="4" t="s">
        <v>261</v>
      </c>
      <c r="C342" s="19">
        <v>-2.2856252604143239</v>
      </c>
      <c r="D342" s="19">
        <v>-1.5515322189195002</v>
      </c>
      <c r="E342" s="19">
        <v>-0.84400384633230108</v>
      </c>
      <c r="F342" s="19">
        <v>0.11920812398583067</v>
      </c>
      <c r="G342" s="19">
        <v>-0.61807280758829308</v>
      </c>
    </row>
    <row r="343" spans="2:7" x14ac:dyDescent="0.3">
      <c r="B343" s="4" t="s">
        <v>264</v>
      </c>
      <c r="C343" s="19">
        <v>-2.1674411979782682</v>
      </c>
      <c r="D343" s="19">
        <v>-1.6816479834880524</v>
      </c>
      <c r="E343" s="19">
        <v>-0.74382335002102673</v>
      </c>
      <c r="F343" s="19">
        <v>5.4200506710141878E-2</v>
      </c>
      <c r="G343" s="19">
        <v>-0.84156507859733187</v>
      </c>
    </row>
    <row r="344" spans="2:7" x14ac:dyDescent="0.3">
      <c r="B344" s="4" t="s">
        <v>267</v>
      </c>
      <c r="C344" s="19">
        <v>-2.0581921786409367</v>
      </c>
      <c r="D344" s="19">
        <v>-1.6359987031805925</v>
      </c>
      <c r="E344" s="19">
        <v>-0.91028898823318072</v>
      </c>
      <c r="F344" s="19">
        <v>0.12379325282526685</v>
      </c>
      <c r="G344" s="19">
        <v>-0.86099138106405337</v>
      </c>
    </row>
    <row r="345" spans="2:7" x14ac:dyDescent="0.3">
      <c r="B345" s="4" t="s">
        <v>270</v>
      </c>
      <c r="C345" s="19">
        <v>-2.4258296736597398</v>
      </c>
      <c r="D345" s="19">
        <v>-1.6886088409921542</v>
      </c>
      <c r="E345" s="19">
        <v>-0.75193353612808744</v>
      </c>
      <c r="F345" s="19">
        <v>-4.4281737528718557E-2</v>
      </c>
      <c r="G345" s="19">
        <v>-0.76107347231569</v>
      </c>
    </row>
    <row r="346" spans="2:7" x14ac:dyDescent="0.3">
      <c r="B346" s="4" t="s">
        <v>273</v>
      </c>
      <c r="C346" s="19">
        <v>-2.5730648906427751</v>
      </c>
      <c r="D346" s="19">
        <v>-1.4234244190635419</v>
      </c>
      <c r="E346" s="19">
        <v>-0.68380652344379855</v>
      </c>
      <c r="F346" s="19">
        <v>-5.0588100457516674E-2</v>
      </c>
      <c r="G346" s="19">
        <v>-0.72375275926837801</v>
      </c>
    </row>
    <row r="347" spans="2:7" x14ac:dyDescent="0.3">
      <c r="B347" s="4" t="s">
        <v>276</v>
      </c>
      <c r="C347" s="19">
        <v>7.914107185464637</v>
      </c>
      <c r="D347" s="19">
        <v>-1.4131731430312733</v>
      </c>
      <c r="E347" s="19">
        <v>3.1141698124898562</v>
      </c>
      <c r="F347" s="19">
        <v>-0.78471814095633197</v>
      </c>
      <c r="G347" s="19">
        <v>-2.0696243464704436</v>
      </c>
    </row>
    <row r="348" spans="2:7" x14ac:dyDescent="0.3">
      <c r="B348" s="4" t="s">
        <v>279</v>
      </c>
      <c r="C348" s="19">
        <v>10.635532765419553</v>
      </c>
      <c r="D348" s="19">
        <v>-3.551499893334185</v>
      </c>
      <c r="E348" s="19">
        <v>1.7659645726105206</v>
      </c>
      <c r="F348" s="19">
        <v>-1.6096549073565221</v>
      </c>
      <c r="G348" s="19">
        <v>-2.220701550111948</v>
      </c>
    </row>
    <row r="349" spans="2:7" x14ac:dyDescent="0.3">
      <c r="B349" s="4" t="s">
        <v>282</v>
      </c>
      <c r="C349" s="19">
        <v>11.069285199887943</v>
      </c>
      <c r="D349" s="19">
        <v>-1.8044447091168114</v>
      </c>
      <c r="E349" s="19">
        <v>2.290352489408404</v>
      </c>
      <c r="F349" s="19">
        <v>-0.69924001152077797</v>
      </c>
      <c r="G349" s="19">
        <v>-2.9367427787414715</v>
      </c>
    </row>
    <row r="350" spans="2:7" x14ac:dyDescent="0.3">
      <c r="B350" s="4" t="s">
        <v>285</v>
      </c>
      <c r="C350" s="19">
        <v>7.7336959006770902</v>
      </c>
      <c r="D350" s="19">
        <v>-2.0939061850961922</v>
      </c>
      <c r="E350" s="19">
        <v>-0.24609577414956824</v>
      </c>
      <c r="F350" s="19">
        <v>-1.7567866604562323</v>
      </c>
      <c r="G350" s="19">
        <v>-2.5122211299714858</v>
      </c>
    </row>
    <row r="351" spans="2:7" x14ac:dyDescent="0.3">
      <c r="B351" s="4" t="s">
        <v>288</v>
      </c>
      <c r="C351" s="19">
        <v>9.995297173200056</v>
      </c>
      <c r="D351" s="19">
        <v>-3.2904780610190567</v>
      </c>
      <c r="E351" s="19">
        <v>2.1185308734752062</v>
      </c>
      <c r="F351" s="19">
        <v>-0.79465619293280887</v>
      </c>
      <c r="G351" s="19">
        <v>-1.5410620927508654</v>
      </c>
    </row>
    <row r="352" spans="2:7" x14ac:dyDescent="0.3">
      <c r="B352" s="4" t="s">
        <v>291</v>
      </c>
      <c r="C352" s="19">
        <v>0.90196589734951216</v>
      </c>
      <c r="D352" s="19">
        <v>-2.1028173751790296</v>
      </c>
      <c r="E352" s="19">
        <v>2.8513528238270083</v>
      </c>
      <c r="F352" s="19">
        <v>-2.0450776112916746</v>
      </c>
      <c r="G352" s="19">
        <v>-1.0532740356313453</v>
      </c>
    </row>
    <row r="353" spans="2:7" x14ac:dyDescent="0.3">
      <c r="B353" s="4" t="s">
        <v>294</v>
      </c>
      <c r="C353" s="19">
        <v>-1.1608989891600663</v>
      </c>
      <c r="D353" s="19">
        <v>-1.3314989732711684</v>
      </c>
      <c r="E353" s="19">
        <v>-8.6765709254857284E-2</v>
      </c>
      <c r="F353" s="19">
        <v>-0.23429151249880739</v>
      </c>
      <c r="G353" s="19">
        <v>-0.73678017151889053</v>
      </c>
    </row>
    <row r="354" spans="2:7" x14ac:dyDescent="0.3">
      <c r="B354" s="4" t="s">
        <v>297</v>
      </c>
      <c r="C354" s="19">
        <v>-1.0045475316315082</v>
      </c>
      <c r="D354" s="19">
        <v>-1.4482076001164463</v>
      </c>
      <c r="E354" s="19">
        <v>-0.41482892190575177</v>
      </c>
      <c r="F354" s="19">
        <v>-0.40652482896467634</v>
      </c>
      <c r="G354" s="19">
        <v>-0.44181281449756016</v>
      </c>
    </row>
    <row r="355" spans="2:7" x14ac:dyDescent="0.3">
      <c r="B355" s="4" t="s">
        <v>300</v>
      </c>
      <c r="C355" s="19">
        <v>-2.1848430636163196</v>
      </c>
      <c r="D355" s="19">
        <v>-2.3983312404686319</v>
      </c>
      <c r="E355" s="19">
        <v>0.72249213314265348</v>
      </c>
      <c r="F355" s="19">
        <v>-0.93397102812226596</v>
      </c>
      <c r="G355" s="19">
        <v>2.3812168014114192</v>
      </c>
    </row>
    <row r="356" spans="2:7" x14ac:dyDescent="0.3">
      <c r="B356" s="4" t="s">
        <v>303</v>
      </c>
      <c r="C356" s="19">
        <v>-2.1732171510750575</v>
      </c>
      <c r="D356" s="19">
        <v>-2.2307544084699145</v>
      </c>
      <c r="E356" s="19">
        <v>0.52321379006809421</v>
      </c>
      <c r="F356" s="19">
        <v>-0.6260033284174551</v>
      </c>
      <c r="G356" s="19">
        <v>2.2925832166018161</v>
      </c>
    </row>
    <row r="357" spans="2:7" x14ac:dyDescent="0.3">
      <c r="B357" s="4" t="s">
        <v>306</v>
      </c>
      <c r="C357" s="19">
        <v>-2.0200990623186619</v>
      </c>
      <c r="D357" s="19">
        <v>-2.2116236355309158</v>
      </c>
      <c r="E357" s="19">
        <v>0.65876431402040969</v>
      </c>
      <c r="F357" s="19">
        <v>-0.86816418609993817</v>
      </c>
      <c r="G357" s="19">
        <v>1.8397041576485453</v>
      </c>
    </row>
    <row r="358" spans="2:7" x14ac:dyDescent="0.3">
      <c r="B358" s="4" t="s">
        <v>309</v>
      </c>
      <c r="C358" s="19">
        <v>-1.8179347276139028</v>
      </c>
      <c r="D358" s="19">
        <v>-2.4675485962730588</v>
      </c>
      <c r="E358" s="19">
        <v>4.8948738399909514E-2</v>
      </c>
      <c r="F358" s="19">
        <v>-0.3777132456957964</v>
      </c>
      <c r="G358" s="19">
        <v>2.6771049436647889</v>
      </c>
    </row>
    <row r="359" spans="2:7" x14ac:dyDescent="0.3">
      <c r="B359" s="4" t="s">
        <v>312</v>
      </c>
      <c r="C359" s="19">
        <v>-2.2309022290824898</v>
      </c>
      <c r="D359" s="19">
        <v>-1.7102928070770618</v>
      </c>
      <c r="E359" s="19">
        <v>-0.28026801647750316</v>
      </c>
      <c r="F359" s="19">
        <v>0.43335614699224645</v>
      </c>
      <c r="G359" s="19">
        <v>-0.30053219476971205</v>
      </c>
    </row>
    <row r="360" spans="2:7" x14ac:dyDescent="0.3">
      <c r="B360" s="4" t="s">
        <v>315</v>
      </c>
      <c r="C360" s="19">
        <v>-2.4873901641340188</v>
      </c>
      <c r="D360" s="19">
        <v>-2.1746400160910193</v>
      </c>
      <c r="E360" s="19">
        <v>0.33444213354727526</v>
      </c>
      <c r="F360" s="19">
        <v>-0.14304837198846765</v>
      </c>
      <c r="G360" s="19">
        <v>-1.1180605723702763</v>
      </c>
    </row>
    <row r="361" spans="2:7" x14ac:dyDescent="0.3">
      <c r="B361" s="4" t="s">
        <v>318</v>
      </c>
      <c r="C361" s="19">
        <v>-1.825122159403834</v>
      </c>
      <c r="D361" s="19">
        <v>-1.6825742794333165</v>
      </c>
      <c r="E361" s="19">
        <v>-0.30083062973577035</v>
      </c>
      <c r="F361" s="19">
        <v>0.17973579244480989</v>
      </c>
      <c r="G361" s="19">
        <v>-0.59685603843701851</v>
      </c>
    </row>
    <row r="362" spans="2:7" x14ac:dyDescent="0.3">
      <c r="B362" s="4" t="s">
        <v>321</v>
      </c>
      <c r="C362" s="19">
        <v>-1.0198683936810182</v>
      </c>
      <c r="D362" s="19">
        <v>-2.011627374464076</v>
      </c>
      <c r="E362" s="19">
        <v>-0.21448175765820371</v>
      </c>
      <c r="F362" s="19">
        <v>0.24172214398573988</v>
      </c>
      <c r="G362" s="19">
        <v>-1.0639673537029668</v>
      </c>
    </row>
    <row r="363" spans="2:7" ht="15" thickBot="1" x14ac:dyDescent="0.35">
      <c r="B363" s="17" t="s">
        <v>324</v>
      </c>
      <c r="C363" s="20">
        <v>-1.6950929685149529</v>
      </c>
      <c r="D363" s="20">
        <v>-2.0886316387618096</v>
      </c>
      <c r="E363" s="20">
        <v>0.85995303220323804</v>
      </c>
      <c r="F363" s="20">
        <v>-0.86637651997274001</v>
      </c>
      <c r="G363" s="20">
        <v>1.2648117319699668</v>
      </c>
    </row>
    <row r="386" spans="7:7" x14ac:dyDescent="0.3">
      <c r="G386" t="s">
        <v>372</v>
      </c>
    </row>
    <row r="406" spans="2:7" x14ac:dyDescent="0.3">
      <c r="G406" t="s">
        <v>372</v>
      </c>
    </row>
    <row r="409" spans="2:7" x14ac:dyDescent="0.3">
      <c r="B409" t="s">
        <v>380</v>
      </c>
    </row>
    <row r="410" spans="2:7" ht="15" thickBot="1" x14ac:dyDescent="0.35"/>
    <row r="411" spans="2:7" x14ac:dyDescent="0.3">
      <c r="B411" s="6"/>
      <c r="C411" s="7" t="s">
        <v>346</v>
      </c>
      <c r="D411" s="7" t="s">
        <v>347</v>
      </c>
      <c r="E411" s="7" t="s">
        <v>348</v>
      </c>
      <c r="F411" s="7" t="s">
        <v>349</v>
      </c>
      <c r="G411" s="7" t="s">
        <v>350</v>
      </c>
    </row>
    <row r="412" spans="2:7" x14ac:dyDescent="0.3">
      <c r="B412" s="16" t="s">
        <v>30</v>
      </c>
      <c r="C412" s="18">
        <v>0.83238480866159115</v>
      </c>
      <c r="D412" s="18">
        <v>6.9513106176934372</v>
      </c>
      <c r="E412" s="18">
        <v>5.4256128554494669</v>
      </c>
      <c r="F412" s="18">
        <v>3.6740011355629161</v>
      </c>
      <c r="G412" s="18">
        <v>2.3239410449558551</v>
      </c>
    </row>
    <row r="413" spans="2:7" x14ac:dyDescent="0.3">
      <c r="B413" s="4" t="s">
        <v>33</v>
      </c>
      <c r="C413" s="19">
        <v>0.77296717562906769</v>
      </c>
      <c r="D413" s="19">
        <v>7.0837012033894231</v>
      </c>
      <c r="E413" s="19">
        <v>5.5836961598468804</v>
      </c>
      <c r="F413" s="19">
        <v>3.4602141206465853</v>
      </c>
      <c r="G413" s="19">
        <v>1.4674700346184091</v>
      </c>
    </row>
    <row r="414" spans="2:7" x14ac:dyDescent="0.3">
      <c r="B414" s="4" t="s">
        <v>36</v>
      </c>
      <c r="C414" s="19">
        <v>0.91457599401621359</v>
      </c>
      <c r="D414" s="19">
        <v>11.429038078664554</v>
      </c>
      <c r="E414" s="19">
        <v>9.2580042968176777</v>
      </c>
      <c r="F414" s="19">
        <v>5.5158078373369621</v>
      </c>
      <c r="G414" s="19">
        <v>3.0543372233471162</v>
      </c>
    </row>
    <row r="415" spans="2:7" x14ac:dyDescent="0.3">
      <c r="B415" s="4" t="s">
        <v>39</v>
      </c>
      <c r="C415" s="19">
        <v>0.32634063143729147</v>
      </c>
      <c r="D415" s="19">
        <v>0.29607666999208193</v>
      </c>
      <c r="E415" s="19">
        <v>0.31022145678564444</v>
      </c>
      <c r="F415" s="19">
        <v>0.59315972971842434</v>
      </c>
      <c r="G415" s="19">
        <v>3.0218702916136396E-2</v>
      </c>
    </row>
    <row r="416" spans="2:7" x14ac:dyDescent="0.3">
      <c r="B416" s="4" t="s">
        <v>42</v>
      </c>
      <c r="C416" s="19">
        <v>0.16774768090812353</v>
      </c>
      <c r="D416" s="19">
        <v>1.0938162234445223</v>
      </c>
      <c r="E416" s="19">
        <v>0.3353289963656127</v>
      </c>
      <c r="F416" s="19">
        <v>1.5472970606150483E-2</v>
      </c>
      <c r="G416" s="19">
        <v>2.6385873539839053E-2</v>
      </c>
    </row>
    <row r="417" spans="2:7" x14ac:dyDescent="0.3">
      <c r="B417" s="4" t="s">
        <v>45</v>
      </c>
      <c r="C417" s="19">
        <v>0.43141458430415214</v>
      </c>
      <c r="D417" s="19">
        <v>0.20259568797303165</v>
      </c>
      <c r="E417" s="19">
        <v>0.18867794567710727</v>
      </c>
      <c r="F417" s="19">
        <v>2.9297009015939627E-2</v>
      </c>
      <c r="G417" s="19">
        <v>2.6629913856355044E-2</v>
      </c>
    </row>
    <row r="418" spans="2:7" x14ac:dyDescent="0.3">
      <c r="B418" s="4" t="s">
        <v>48</v>
      </c>
      <c r="C418" s="19">
        <v>0.41292450196649294</v>
      </c>
      <c r="D418" s="19">
        <v>0.21434629815471234</v>
      </c>
      <c r="E418" s="19">
        <v>0.2770123486010489</v>
      </c>
      <c r="F418" s="19">
        <v>0.1189971694092458</v>
      </c>
      <c r="G418" s="19">
        <v>2.0425231026102237E-2</v>
      </c>
    </row>
    <row r="419" spans="2:7" x14ac:dyDescent="0.3">
      <c r="B419" s="4" t="s">
        <v>51</v>
      </c>
      <c r="C419" s="19">
        <v>0.20471631562136447</v>
      </c>
      <c r="D419" s="19">
        <v>1.0283285258091182</v>
      </c>
      <c r="E419" s="19">
        <v>0.47983708657205221</v>
      </c>
      <c r="F419" s="19">
        <v>0.15386050860107936</v>
      </c>
      <c r="G419" s="19">
        <v>0.48196938597406885</v>
      </c>
    </row>
    <row r="420" spans="2:7" x14ac:dyDescent="0.3">
      <c r="B420" s="4" t="s">
        <v>54</v>
      </c>
      <c r="C420" s="19">
        <v>0.34590942455150814</v>
      </c>
      <c r="D420" s="19">
        <v>1.6625220724175747</v>
      </c>
      <c r="E420" s="19">
        <v>9.6499580879243443E-2</v>
      </c>
      <c r="F420" s="19">
        <v>1.7717603083187459E-2</v>
      </c>
      <c r="G420" s="19">
        <v>4.3216519340621033E-2</v>
      </c>
    </row>
    <row r="421" spans="2:7" x14ac:dyDescent="0.3">
      <c r="B421" s="4" t="s">
        <v>57</v>
      </c>
      <c r="C421" s="19">
        <v>0.122118068070991</v>
      </c>
      <c r="D421" s="19">
        <v>0.61734283783431254</v>
      </c>
      <c r="E421" s="19">
        <v>0.36885558368435806</v>
      </c>
      <c r="F421" s="19">
        <v>3.1343683880285995E-3</v>
      </c>
      <c r="G421" s="19">
        <v>1.8293825075005155E-2</v>
      </c>
    </row>
    <row r="422" spans="2:7" x14ac:dyDescent="0.3">
      <c r="B422" s="4" t="s">
        <v>60</v>
      </c>
      <c r="C422" s="19">
        <v>0.2538875055499904</v>
      </c>
      <c r="D422" s="19">
        <v>1.4222625222518928</v>
      </c>
      <c r="E422" s="19">
        <v>0.33783875502071464</v>
      </c>
      <c r="F422" s="19">
        <v>8.5011233626334448E-2</v>
      </c>
      <c r="G422" s="19">
        <v>0.63389978940560876</v>
      </c>
    </row>
    <row r="423" spans="2:7" x14ac:dyDescent="0.3">
      <c r="B423" s="4" t="s">
        <v>63</v>
      </c>
      <c r="C423" s="19">
        <v>0.34400152972805931</v>
      </c>
      <c r="D423" s="19">
        <v>0.2501118454682924</v>
      </c>
      <c r="E423" s="19">
        <v>0.45291572478326547</v>
      </c>
      <c r="F423" s="19">
        <v>5.6228674399127375E-3</v>
      </c>
      <c r="G423" s="19">
        <v>7.705805009254621E-2</v>
      </c>
    </row>
    <row r="424" spans="2:7" x14ac:dyDescent="0.3">
      <c r="B424" s="4" t="s">
        <v>66</v>
      </c>
      <c r="C424" s="19">
        <v>0.3115391869331659</v>
      </c>
      <c r="D424" s="19">
        <v>0.58035469220014668</v>
      </c>
      <c r="E424" s="19">
        <v>0.25443311731194918</v>
      </c>
      <c r="F424" s="19">
        <v>6.4912338207633033E-5</v>
      </c>
      <c r="G424" s="19">
        <v>4.5567344419284095E-3</v>
      </c>
    </row>
    <row r="425" spans="2:7" x14ac:dyDescent="0.3">
      <c r="B425" s="4" t="s">
        <v>69</v>
      </c>
      <c r="C425" s="19">
        <v>0.32626988343981589</v>
      </c>
      <c r="D425" s="19">
        <v>0.40438382688786406</v>
      </c>
      <c r="E425" s="19">
        <v>0.38794645661265781</v>
      </c>
      <c r="F425" s="19">
        <v>6.2098050470944077E-2</v>
      </c>
      <c r="G425" s="19">
        <v>7.2080493379093448E-3</v>
      </c>
    </row>
    <row r="426" spans="2:7" x14ac:dyDescent="0.3">
      <c r="B426" s="4" t="s">
        <v>72</v>
      </c>
      <c r="C426" s="19">
        <v>0.26600510842729674</v>
      </c>
      <c r="D426" s="19">
        <v>0.25785689745456197</v>
      </c>
      <c r="E426" s="19">
        <v>0.34201861891314556</v>
      </c>
      <c r="F426" s="19">
        <v>2.9289368322928319E-3</v>
      </c>
      <c r="G426" s="19">
        <v>2.6979546873504823E-3</v>
      </c>
    </row>
    <row r="427" spans="2:7" x14ac:dyDescent="0.3">
      <c r="B427" s="4" t="s">
        <v>75</v>
      </c>
      <c r="C427" s="19">
        <v>0.32631657678616477</v>
      </c>
      <c r="D427" s="19">
        <v>0.36655283249412207</v>
      </c>
      <c r="E427" s="19">
        <v>0.64201680510701942</v>
      </c>
      <c r="F427" s="19">
        <v>6.1033375397498585E-5</v>
      </c>
      <c r="G427" s="19">
        <v>2.3976911126576534E-2</v>
      </c>
    </row>
    <row r="428" spans="2:7" x14ac:dyDescent="0.3">
      <c r="B428" s="4" t="s">
        <v>78</v>
      </c>
      <c r="C428" s="19">
        <v>0.33824042089209849</v>
      </c>
      <c r="D428" s="19">
        <v>0.434895012190256</v>
      </c>
      <c r="E428" s="19">
        <v>0.1070816471631105</v>
      </c>
      <c r="F428" s="19">
        <v>0.1461192708375435</v>
      </c>
      <c r="G428" s="19">
        <v>4.8348906693831371E-2</v>
      </c>
    </row>
    <row r="429" spans="2:7" x14ac:dyDescent="0.3">
      <c r="B429" s="4" t="s">
        <v>81</v>
      </c>
      <c r="C429" s="19">
        <v>0.38057200950457826</v>
      </c>
      <c r="D429" s="19">
        <v>0.96309437496179562</v>
      </c>
      <c r="E429" s="19">
        <v>0.57034557137972519</v>
      </c>
      <c r="F429" s="19">
        <v>2.1009476750764811E-2</v>
      </c>
      <c r="G429" s="19">
        <v>0.13103118991348894</v>
      </c>
    </row>
    <row r="430" spans="2:7" x14ac:dyDescent="0.3">
      <c r="B430" s="4" t="s">
        <v>84</v>
      </c>
      <c r="C430" s="19">
        <v>1.1101734209189267</v>
      </c>
      <c r="D430" s="19">
        <v>1.6488844814559814E-2</v>
      </c>
      <c r="E430" s="19">
        <v>0.14209440821833416</v>
      </c>
      <c r="F430" s="19">
        <v>0.53883114098129525</v>
      </c>
      <c r="G430" s="19">
        <v>0.19995123888580255</v>
      </c>
    </row>
    <row r="431" spans="2:7" x14ac:dyDescent="0.3">
      <c r="B431" s="4" t="s">
        <v>87</v>
      </c>
      <c r="C431" s="19">
        <v>8.2640234424100206E-2</v>
      </c>
      <c r="D431" s="19">
        <v>1.0246387991721277</v>
      </c>
      <c r="E431" s="19">
        <v>0.30127745467449191</v>
      </c>
      <c r="F431" s="19">
        <v>1.695738710715675E-2</v>
      </c>
      <c r="G431" s="19">
        <v>3.0105990856286562E-2</v>
      </c>
    </row>
    <row r="432" spans="2:7" x14ac:dyDescent="0.3">
      <c r="B432" s="4" t="s">
        <v>90</v>
      </c>
      <c r="C432" s="19">
        <v>2.1377530328375967</v>
      </c>
      <c r="D432" s="19">
        <v>0.17628660934882256</v>
      </c>
      <c r="E432" s="19">
        <v>1.4620659872811661</v>
      </c>
      <c r="F432" s="19">
        <v>0.54706596350570968</v>
      </c>
      <c r="G432" s="19">
        <v>2.4282635758592756E-5</v>
      </c>
    </row>
    <row r="433" spans="2:7" x14ac:dyDescent="0.3">
      <c r="B433" s="4" t="s">
        <v>93</v>
      </c>
      <c r="C433" s="19">
        <v>0.32733242971861315</v>
      </c>
      <c r="D433" s="19">
        <v>0.67414605301623309</v>
      </c>
      <c r="E433" s="19">
        <v>0.60047511312831703</v>
      </c>
      <c r="F433" s="19">
        <v>9.0759805592311449E-3</v>
      </c>
      <c r="G433" s="19">
        <v>2.5858152360409913E-2</v>
      </c>
    </row>
    <row r="434" spans="2:7" x14ac:dyDescent="0.3">
      <c r="B434" s="4" t="s">
        <v>96</v>
      </c>
      <c r="C434" s="19">
        <v>0.51821256863885656</v>
      </c>
      <c r="D434" s="19">
        <v>1.3193784754186804</v>
      </c>
      <c r="E434" s="19">
        <v>0.50571346549221918</v>
      </c>
      <c r="F434" s="19">
        <v>2.0111321012742486E-2</v>
      </c>
      <c r="G434" s="19">
        <v>4.0102360959240274E-2</v>
      </c>
    </row>
    <row r="435" spans="2:7" x14ac:dyDescent="0.3">
      <c r="B435" s="4" t="s">
        <v>99</v>
      </c>
      <c r="C435" s="19">
        <v>0.24263497216160471</v>
      </c>
      <c r="D435" s="19">
        <v>0.49415596468931516</v>
      </c>
      <c r="E435" s="19">
        <v>0.1297108165241008</v>
      </c>
      <c r="F435" s="19">
        <v>1.9425016496999726E-2</v>
      </c>
      <c r="G435" s="19">
        <v>0.37736799440229307</v>
      </c>
    </row>
    <row r="436" spans="2:7" x14ac:dyDescent="0.3">
      <c r="B436" s="4" t="s">
        <v>102</v>
      </c>
      <c r="C436" s="19">
        <v>0.23725647601072491</v>
      </c>
      <c r="D436" s="19">
        <v>1.170607189992809</v>
      </c>
      <c r="E436" s="19">
        <v>0.53441885769356523</v>
      </c>
      <c r="F436" s="19">
        <v>0.12924659316083553</v>
      </c>
      <c r="G436" s="19">
        <v>0.56202659828456014</v>
      </c>
    </row>
    <row r="437" spans="2:7" x14ac:dyDescent="0.3">
      <c r="B437" s="4" t="s">
        <v>105</v>
      </c>
      <c r="C437" s="19">
        <v>0.10048624372873352</v>
      </c>
      <c r="D437" s="19">
        <v>0.5276187927118231</v>
      </c>
      <c r="E437" s="19">
        <v>0.49384751707274394</v>
      </c>
      <c r="F437" s="19">
        <v>0.22692373926710427</v>
      </c>
      <c r="G437" s="19">
        <v>0.18298609073850486</v>
      </c>
    </row>
    <row r="438" spans="2:7" x14ac:dyDescent="0.3">
      <c r="B438" s="4" t="s">
        <v>108</v>
      </c>
      <c r="C438" s="19">
        <v>1.6849857075832989E-2</v>
      </c>
      <c r="D438" s="19">
        <v>0.4754218324224036</v>
      </c>
      <c r="E438" s="19">
        <v>0.43997812657575486</v>
      </c>
      <c r="F438" s="19">
        <v>1.8062698106509001E-4</v>
      </c>
      <c r="G438" s="19">
        <v>8.4223613910332715E-3</v>
      </c>
    </row>
    <row r="439" spans="2:7" x14ac:dyDescent="0.3">
      <c r="B439" s="4" t="s">
        <v>111</v>
      </c>
      <c r="C439" s="19">
        <v>6.2511776333854741E-2</v>
      </c>
      <c r="D439" s="19">
        <v>0.2046842542288963</v>
      </c>
      <c r="E439" s="19">
        <v>0.93469998007146227</v>
      </c>
      <c r="F439" s="19">
        <v>3.7804775741997969E-2</v>
      </c>
      <c r="G439" s="19">
        <v>7.1535548761112733E-2</v>
      </c>
    </row>
    <row r="440" spans="2:7" x14ac:dyDescent="0.3">
      <c r="B440" s="4" t="s">
        <v>114</v>
      </c>
      <c r="C440" s="19">
        <v>0.66516238311870324</v>
      </c>
      <c r="D440" s="19">
        <v>0.63645143684368155</v>
      </c>
      <c r="E440" s="19">
        <v>0.38186487203395258</v>
      </c>
      <c r="F440" s="19">
        <v>3.8873960068079215E-2</v>
      </c>
      <c r="G440" s="19">
        <v>6.6703591273570575E-2</v>
      </c>
    </row>
    <row r="441" spans="2:7" x14ac:dyDescent="0.3">
      <c r="B441" s="4" t="s">
        <v>117</v>
      </c>
      <c r="C441" s="19">
        <v>0.1706754518310297</v>
      </c>
      <c r="D441" s="19">
        <v>1.1543750286410956</v>
      </c>
      <c r="E441" s="19">
        <v>0.39486976043475408</v>
      </c>
      <c r="F441" s="19">
        <v>2.0392997052551157E-3</v>
      </c>
      <c r="G441" s="19">
        <v>5.3704123118113824E-2</v>
      </c>
    </row>
    <row r="442" spans="2:7" x14ac:dyDescent="0.3">
      <c r="B442" s="4" t="s">
        <v>120</v>
      </c>
      <c r="C442" s="19">
        <v>0.31909728457985259</v>
      </c>
      <c r="D442" s="19">
        <v>4.9161954870625336E-2</v>
      </c>
      <c r="E442" s="19">
        <v>5.0438061534162516E-3</v>
      </c>
      <c r="F442" s="19">
        <v>0.23795911865690758</v>
      </c>
      <c r="G442" s="19">
        <v>0.1369432973273573</v>
      </c>
    </row>
    <row r="443" spans="2:7" x14ac:dyDescent="0.3">
      <c r="B443" s="4" t="s">
        <v>123</v>
      </c>
      <c r="C443" s="19">
        <v>0.92056790011220857</v>
      </c>
      <c r="D443" s="19">
        <v>1.8337848091682358</v>
      </c>
      <c r="E443" s="19">
        <v>9.4889899356316046E-2</v>
      </c>
      <c r="F443" s="19">
        <v>0.56716325724676431</v>
      </c>
      <c r="G443" s="19">
        <v>1.6903250004512933</v>
      </c>
    </row>
    <row r="444" spans="2:7" x14ac:dyDescent="0.3">
      <c r="B444" s="4" t="s">
        <v>126</v>
      </c>
      <c r="C444" s="19">
        <v>0.98597331873978489</v>
      </c>
      <c r="D444" s="19">
        <v>1.5266790182440082</v>
      </c>
      <c r="E444" s="19">
        <v>0.9738509011254568</v>
      </c>
      <c r="F444" s="19">
        <v>0.36669542386710807</v>
      </c>
      <c r="G444" s="19">
        <v>1.6611409116367679</v>
      </c>
    </row>
    <row r="445" spans="2:7" x14ac:dyDescent="0.3">
      <c r="B445" s="4" t="s">
        <v>129</v>
      </c>
      <c r="C445" s="19">
        <v>0.1092253976559288</v>
      </c>
      <c r="D445" s="19">
        <v>1.1194840868643454</v>
      </c>
      <c r="E445" s="19">
        <v>0.42949671432691278</v>
      </c>
      <c r="F445" s="19">
        <v>9.4606401780737547E-3</v>
      </c>
      <c r="G445" s="19">
        <v>1.9975512686771186E-2</v>
      </c>
    </row>
    <row r="446" spans="2:7" x14ac:dyDescent="0.3">
      <c r="B446" s="4" t="s">
        <v>132</v>
      </c>
      <c r="C446" s="19">
        <v>0.25759541325867769</v>
      </c>
      <c r="D446" s="19">
        <v>0.98820706799078806</v>
      </c>
      <c r="E446" s="19">
        <v>0.61720909023884152</v>
      </c>
      <c r="F446" s="19">
        <v>4.948398862260165E-2</v>
      </c>
      <c r="G446" s="19">
        <v>0.25869089488803265</v>
      </c>
    </row>
    <row r="447" spans="2:7" x14ac:dyDescent="0.3">
      <c r="B447" s="4" t="s">
        <v>135</v>
      </c>
      <c r="C447" s="19">
        <v>0.13592925039308743</v>
      </c>
      <c r="D447" s="19">
        <v>6.0007291661547434E-3</v>
      </c>
      <c r="E447" s="19">
        <v>0.48572259828083092</v>
      </c>
      <c r="F447" s="19">
        <v>2.0271414623344485E-2</v>
      </c>
      <c r="G447" s="19">
        <v>2.2273914379880813E-2</v>
      </c>
    </row>
    <row r="448" spans="2:7" x14ac:dyDescent="0.3">
      <c r="B448" s="4" t="s">
        <v>138</v>
      </c>
      <c r="C448" s="19">
        <v>8.3519775991458239E-2</v>
      </c>
      <c r="D448" s="19">
        <v>5.1222605887686005E-4</v>
      </c>
      <c r="E448" s="19">
        <v>0.63222734960775573</v>
      </c>
      <c r="F448" s="19">
        <v>9.2479496340070827E-2</v>
      </c>
      <c r="G448" s="19">
        <v>0.14672199622728627</v>
      </c>
    </row>
    <row r="449" spans="2:7" x14ac:dyDescent="0.3">
      <c r="B449" s="4" t="s">
        <v>141</v>
      </c>
      <c r="C449" s="19">
        <v>0.62111757066188344</v>
      </c>
      <c r="D449" s="19">
        <v>1.0351325045010245</v>
      </c>
      <c r="E449" s="19">
        <v>0.73409067315280585</v>
      </c>
      <c r="F449" s="19">
        <v>0.5668731957753127</v>
      </c>
      <c r="G449" s="19">
        <v>1.3395759926383011</v>
      </c>
    </row>
    <row r="450" spans="2:7" x14ac:dyDescent="0.3">
      <c r="B450" s="4" t="s">
        <v>144</v>
      </c>
      <c r="C450" s="19">
        <v>0.47487980008209912</v>
      </c>
      <c r="D450" s="19">
        <v>0.55703368322538527</v>
      </c>
      <c r="E450" s="19">
        <v>0.26597089642543836</v>
      </c>
      <c r="F450" s="19">
        <v>3.3292131915935178E-2</v>
      </c>
      <c r="G450" s="19">
        <v>0.11894556593259735</v>
      </c>
    </row>
    <row r="451" spans="2:7" x14ac:dyDescent="0.3">
      <c r="B451" s="4" t="s">
        <v>147</v>
      </c>
      <c r="C451" s="19">
        <v>0.78088599470233455</v>
      </c>
      <c r="D451" s="19">
        <v>0.88509440715898247</v>
      </c>
      <c r="E451" s="19">
        <v>0.54786103118845886</v>
      </c>
      <c r="F451" s="19">
        <v>9.4299313034163484E-3</v>
      </c>
      <c r="G451" s="19">
        <v>4.130848607416286E-3</v>
      </c>
    </row>
    <row r="452" spans="2:7" x14ac:dyDescent="0.3">
      <c r="B452" s="4" t="s">
        <v>150</v>
      </c>
      <c r="C452" s="19">
        <v>0.30144560474767845</v>
      </c>
      <c r="D452" s="19">
        <v>0.62609291150139301</v>
      </c>
      <c r="E452" s="19">
        <v>0.78633044028451038</v>
      </c>
      <c r="F452" s="19">
        <v>3.0803871319604131E-3</v>
      </c>
      <c r="G452" s="19">
        <v>1.8770715691403238E-5</v>
      </c>
    </row>
    <row r="453" spans="2:7" x14ac:dyDescent="0.3">
      <c r="B453" s="4" t="s">
        <v>153</v>
      </c>
      <c r="C453" s="19">
        <v>0.31994291594024515</v>
      </c>
      <c r="D453" s="19">
        <v>1.9664962157167141</v>
      </c>
      <c r="E453" s="19">
        <v>2.5999702402621849E-2</v>
      </c>
      <c r="F453" s="19">
        <v>0.12140042821076424</v>
      </c>
      <c r="G453" s="19">
        <v>0.89047475370553864</v>
      </c>
    </row>
    <row r="454" spans="2:7" x14ac:dyDescent="0.3">
      <c r="B454" s="4" t="s">
        <v>156</v>
      </c>
      <c r="C454" s="19">
        <v>0.21437104413289276</v>
      </c>
      <c r="D454" s="19">
        <v>0.73027223898517735</v>
      </c>
      <c r="E454" s="19">
        <v>0.16887869047681689</v>
      </c>
      <c r="F454" s="19">
        <v>0.14044121495073511</v>
      </c>
      <c r="G454" s="19">
        <v>3.8309683589559933E-2</v>
      </c>
    </row>
    <row r="455" spans="2:7" x14ac:dyDescent="0.3">
      <c r="B455" s="4" t="s">
        <v>159</v>
      </c>
      <c r="C455" s="19">
        <v>0.29804233432355515</v>
      </c>
      <c r="D455" s="19">
        <v>1.2355303310716159</v>
      </c>
      <c r="E455" s="19">
        <v>0.7283256638936022</v>
      </c>
      <c r="F455" s="19">
        <v>0.3613899428433367</v>
      </c>
      <c r="G455" s="19">
        <v>0.65181591029016994</v>
      </c>
    </row>
    <row r="456" spans="2:7" x14ac:dyDescent="0.3">
      <c r="B456" s="4" t="s">
        <v>162</v>
      </c>
      <c r="C456" s="19">
        <v>0.23122068919714028</v>
      </c>
      <c r="D456" s="19">
        <v>0.22172391438972905</v>
      </c>
      <c r="E456" s="19">
        <v>0.65690247799249402</v>
      </c>
      <c r="F456" s="19">
        <v>0.44238424385432268</v>
      </c>
      <c r="G456" s="19">
        <v>1.1553971346205079</v>
      </c>
    </row>
    <row r="457" spans="2:7" x14ac:dyDescent="0.3">
      <c r="B457" s="4" t="s">
        <v>165</v>
      </c>
      <c r="C457" s="19">
        <v>0.13638415569078793</v>
      </c>
      <c r="D457" s="19">
        <v>0.47864075843887643</v>
      </c>
      <c r="E457" s="19">
        <v>9.7858720129718295E-3</v>
      </c>
      <c r="F457" s="19">
        <v>6.7674632734085547E-5</v>
      </c>
      <c r="G457" s="19">
        <v>5.0865502980702235E-2</v>
      </c>
    </row>
    <row r="458" spans="2:7" x14ac:dyDescent="0.3">
      <c r="B458" s="4" t="s">
        <v>168</v>
      </c>
      <c r="C458" s="19">
        <v>0.34832001387029055</v>
      </c>
      <c r="D458" s="19">
        <v>0.81681739165440237</v>
      </c>
      <c r="E458" s="19">
        <v>0.91376766375264129</v>
      </c>
      <c r="F458" s="19">
        <v>0.27240422577741091</v>
      </c>
      <c r="G458" s="19">
        <v>0.36005592443771489</v>
      </c>
    </row>
    <row r="459" spans="2:7" x14ac:dyDescent="0.3">
      <c r="B459" s="4" t="s">
        <v>171</v>
      </c>
      <c r="C459" s="19">
        <v>0.16197378891002015</v>
      </c>
      <c r="D459" s="19">
        <v>0.16259778936095293</v>
      </c>
      <c r="E459" s="19">
        <v>0.12064907595420991</v>
      </c>
      <c r="F459" s="19">
        <v>0.10255514163384845</v>
      </c>
      <c r="G459" s="19">
        <v>0.14973981027406746</v>
      </c>
    </row>
    <row r="460" spans="2:7" x14ac:dyDescent="0.3">
      <c r="B460" s="4" t="s">
        <v>174</v>
      </c>
      <c r="C460" s="19">
        <v>0.59389255586110701</v>
      </c>
      <c r="D460" s="19">
        <v>0.17358922621410916</v>
      </c>
      <c r="E460" s="19">
        <v>1.3956058000997017E-2</v>
      </c>
      <c r="F460" s="19">
        <v>5.0231299495157797E-2</v>
      </c>
      <c r="G460" s="19">
        <v>0.45070144141309632</v>
      </c>
    </row>
    <row r="461" spans="2:7" x14ac:dyDescent="0.3">
      <c r="B461" s="4" t="s">
        <v>177</v>
      </c>
      <c r="C461" s="19">
        <v>0.69463897363682081</v>
      </c>
      <c r="D461" s="19">
        <v>6.3617950667703141E-3</v>
      </c>
      <c r="E461" s="19">
        <v>3.8843913843096302E-2</v>
      </c>
      <c r="F461" s="19">
        <v>0.2033983246822596</v>
      </c>
      <c r="G461" s="19">
        <v>0.69305659958031784</v>
      </c>
    </row>
    <row r="462" spans="2:7" x14ac:dyDescent="0.3">
      <c r="B462" s="4" t="s">
        <v>180</v>
      </c>
      <c r="C462" s="19">
        <v>0.73608135788551865</v>
      </c>
      <c r="D462" s="19">
        <v>0.18826927102271201</v>
      </c>
      <c r="E462" s="19">
        <v>0.35528803096337025</v>
      </c>
      <c r="F462" s="19">
        <v>0.53614393175453301</v>
      </c>
      <c r="G462" s="19">
        <v>0.96162424742608399</v>
      </c>
    </row>
    <row r="463" spans="2:7" x14ac:dyDescent="0.3">
      <c r="B463" s="4" t="s">
        <v>183</v>
      </c>
      <c r="C463" s="19">
        <v>0.71194130796100541</v>
      </c>
      <c r="D463" s="19">
        <v>0.63154987427290299</v>
      </c>
      <c r="E463" s="19">
        <v>0.75086924343239625</v>
      </c>
      <c r="F463" s="19">
        <v>0.89055477552419449</v>
      </c>
      <c r="G463" s="19">
        <v>1.2958985365296107</v>
      </c>
    </row>
    <row r="464" spans="2:7" x14ac:dyDescent="0.3">
      <c r="B464" s="4" t="s">
        <v>186</v>
      </c>
      <c r="C464" s="19">
        <v>0.57635552591801953</v>
      </c>
      <c r="D464" s="19">
        <v>1.2671717855362707E-3</v>
      </c>
      <c r="E464" s="19">
        <v>0.27185122860686101</v>
      </c>
      <c r="F464" s="19">
        <v>0.16777536505335958</v>
      </c>
      <c r="G464" s="19">
        <v>0.44026003852628176</v>
      </c>
    </row>
    <row r="465" spans="2:7" x14ac:dyDescent="0.3">
      <c r="B465" s="4" t="s">
        <v>189</v>
      </c>
      <c r="C465" s="19">
        <v>0.57734511591458793</v>
      </c>
      <c r="D465" s="19">
        <v>0.12387583376685847</v>
      </c>
      <c r="E465" s="19">
        <v>3.6495592491554311E-2</v>
      </c>
      <c r="F465" s="19">
        <v>6.0939213964416497E-2</v>
      </c>
      <c r="G465" s="19">
        <v>0.49343008627263618</v>
      </c>
    </row>
    <row r="466" spans="2:7" x14ac:dyDescent="0.3">
      <c r="B466" s="4" t="s">
        <v>192</v>
      </c>
      <c r="C466" s="19">
        <v>0.46567177048640468</v>
      </c>
      <c r="D466" s="19">
        <v>7.7218772434655015E-3</v>
      </c>
      <c r="E466" s="19">
        <v>1.7632736257367051E-2</v>
      </c>
      <c r="F466" s="19">
        <v>0.13017672811376718</v>
      </c>
      <c r="G466" s="19">
        <v>0.28280198041598709</v>
      </c>
    </row>
    <row r="467" spans="2:7" x14ac:dyDescent="0.3">
      <c r="B467" s="4" t="s">
        <v>195</v>
      </c>
      <c r="C467" s="19">
        <v>0.35732551079420249</v>
      </c>
      <c r="D467" s="19">
        <v>0.49208513435394408</v>
      </c>
      <c r="E467" s="19">
        <v>2.5032773759394937E-2</v>
      </c>
      <c r="F467" s="19">
        <v>1.584006593038435E-2</v>
      </c>
      <c r="G467" s="19">
        <v>0.23594829779830098</v>
      </c>
    </row>
    <row r="468" spans="2:7" x14ac:dyDescent="0.3">
      <c r="B468" s="4" t="s">
        <v>198</v>
      </c>
      <c r="C468" s="19">
        <v>0.62560862634814518</v>
      </c>
      <c r="D468" s="19">
        <v>1.1330768339048251E-2</v>
      </c>
      <c r="E468" s="19">
        <v>0.21092763058503894</v>
      </c>
      <c r="F468" s="19">
        <v>0.18926952983057105</v>
      </c>
      <c r="G468" s="19">
        <v>0.81150858785248037</v>
      </c>
    </row>
    <row r="469" spans="2:7" x14ac:dyDescent="0.3">
      <c r="B469" s="4" t="s">
        <v>201</v>
      </c>
      <c r="C469" s="19">
        <v>0.62594471917173389</v>
      </c>
      <c r="D469" s="19">
        <v>0.62605358333752603</v>
      </c>
      <c r="E469" s="19">
        <v>0.32384760961141429</v>
      </c>
      <c r="F469" s="19">
        <v>2.8203133157859383E-3</v>
      </c>
      <c r="G469" s="19">
        <v>0.29752713153605409</v>
      </c>
    </row>
    <row r="470" spans="2:7" x14ac:dyDescent="0.3">
      <c r="B470" s="4" t="s">
        <v>204</v>
      </c>
      <c r="C470" s="19">
        <v>0.61280544547602644</v>
      </c>
      <c r="D470" s="19">
        <v>0.61859986706323944</v>
      </c>
      <c r="E470" s="19">
        <v>0.16310431579675172</v>
      </c>
      <c r="F470" s="19">
        <v>6.940236413653367E-4</v>
      </c>
      <c r="G470" s="19">
        <v>0.32300934930039699</v>
      </c>
    </row>
    <row r="471" spans="2:7" x14ac:dyDescent="0.3">
      <c r="B471" s="4" t="s">
        <v>207</v>
      </c>
      <c r="C471" s="19">
        <v>6.1413925098985702</v>
      </c>
      <c r="D471" s="19">
        <v>8.8204494339858712</v>
      </c>
      <c r="E471" s="19">
        <v>0.20610972734661293</v>
      </c>
      <c r="F471" s="19">
        <v>59.795161801375464</v>
      </c>
      <c r="G471" s="19">
        <v>14.9471071330046</v>
      </c>
    </row>
    <row r="472" spans="2:7" x14ac:dyDescent="0.3">
      <c r="B472" s="4" t="s">
        <v>210</v>
      </c>
      <c r="C472" s="19">
        <v>1.2277033775001427</v>
      </c>
      <c r="D472" s="19">
        <v>0.14296342707862153</v>
      </c>
      <c r="E472" s="19">
        <v>0.11472311167800726</v>
      </c>
      <c r="F472" s="19">
        <v>9.5881113914598793E-7</v>
      </c>
      <c r="G472" s="19">
        <v>0.30136567374432299</v>
      </c>
    </row>
    <row r="473" spans="2:7" x14ac:dyDescent="0.3">
      <c r="B473" s="4" t="s">
        <v>213</v>
      </c>
      <c r="C473" s="19">
        <v>1.1860560377903457</v>
      </c>
      <c r="D473" s="19">
        <v>0.34294602543829467</v>
      </c>
      <c r="E473" s="19">
        <v>8.2478442657974381E-4</v>
      </c>
      <c r="F473" s="19">
        <v>3.483760308702593E-2</v>
      </c>
      <c r="G473" s="19">
        <v>1.4848933495525584E-2</v>
      </c>
    </row>
    <row r="474" spans="2:7" x14ac:dyDescent="0.3">
      <c r="B474" s="4" t="s">
        <v>216</v>
      </c>
      <c r="C474" s="19">
        <v>1.2822562835717716E-2</v>
      </c>
      <c r="D474" s="19">
        <v>4.5121808084324001E-4</v>
      </c>
      <c r="E474" s="19">
        <v>14.996897762133269</v>
      </c>
      <c r="F474" s="19">
        <v>8.3909758460520063</v>
      </c>
      <c r="G474" s="19">
        <v>13.6050483773785</v>
      </c>
    </row>
    <row r="475" spans="2:7" x14ac:dyDescent="0.3">
      <c r="B475" s="4" t="s">
        <v>219</v>
      </c>
      <c r="C475" s="19">
        <v>0.34256358855371194</v>
      </c>
      <c r="D475" s="19">
        <v>6.6159386346198732E-3</v>
      </c>
      <c r="E475" s="19">
        <v>21.354032546317324</v>
      </c>
      <c r="F475" s="19">
        <v>1.9179073908795237</v>
      </c>
      <c r="G475" s="19">
        <v>4.6599336021220381</v>
      </c>
    </row>
    <row r="476" spans="2:7" x14ac:dyDescent="0.3">
      <c r="B476" s="4" t="s">
        <v>222</v>
      </c>
      <c r="C476" s="19">
        <v>0.50037353599785839</v>
      </c>
      <c r="D476" s="19">
        <v>0.26850265471425205</v>
      </c>
      <c r="E476" s="19">
        <v>0.23219435667968774</v>
      </c>
      <c r="F476" s="19">
        <v>2.7463356996464128E-2</v>
      </c>
      <c r="G476" s="19">
        <v>0.34239618715418479</v>
      </c>
    </row>
    <row r="477" spans="2:7" x14ac:dyDescent="0.3">
      <c r="B477" s="4" t="s">
        <v>225</v>
      </c>
      <c r="C477" s="19">
        <v>1.0731142077498794</v>
      </c>
      <c r="D477" s="19">
        <v>3.2880964608776431E-2</v>
      </c>
      <c r="E477" s="19">
        <v>1.2623993521397519</v>
      </c>
      <c r="F477" s="19">
        <v>1.8388042227677242E-2</v>
      </c>
      <c r="G477" s="19">
        <v>7.2518349879691625E-5</v>
      </c>
    </row>
    <row r="478" spans="2:7" x14ac:dyDescent="0.3">
      <c r="B478" s="4" t="s">
        <v>228</v>
      </c>
      <c r="C478" s="19">
        <v>0.88648429946107654</v>
      </c>
      <c r="D478" s="19">
        <v>1.3425100498719037E-2</v>
      </c>
      <c r="E478" s="19">
        <v>2.5925013566936155</v>
      </c>
      <c r="F478" s="19">
        <v>0.15584217782121434</v>
      </c>
      <c r="G478" s="19">
        <v>6.4367185834576471E-2</v>
      </c>
    </row>
    <row r="479" spans="2:7" x14ac:dyDescent="0.3">
      <c r="B479" s="4" t="s">
        <v>231</v>
      </c>
      <c r="C479" s="19">
        <v>0.77418770722423647</v>
      </c>
      <c r="D479" s="19">
        <v>8.7687939160654732E-4</v>
      </c>
      <c r="E479" s="19">
        <v>0.80109608729463155</v>
      </c>
      <c r="F479" s="19">
        <v>0.22022686035397926</v>
      </c>
      <c r="G479" s="19">
        <v>2.04303056362067</v>
      </c>
    </row>
    <row r="480" spans="2:7" x14ac:dyDescent="0.3">
      <c r="B480" s="4" t="s">
        <v>234</v>
      </c>
      <c r="C480" s="19">
        <v>0.76457126932366415</v>
      </c>
      <c r="D480" s="19">
        <v>0.35903186408765053</v>
      </c>
      <c r="E480" s="19">
        <v>2.0611289303148765E-4</v>
      </c>
      <c r="F480" s="19">
        <v>0.44270442439413965</v>
      </c>
      <c r="G480" s="19">
        <v>1.805618192798792</v>
      </c>
    </row>
    <row r="481" spans="2:7" x14ac:dyDescent="0.3">
      <c r="B481" s="4" t="s">
        <v>237</v>
      </c>
      <c r="C481" s="19">
        <v>0.58273526524860764</v>
      </c>
      <c r="D481" s="19">
        <v>0.54148019929923097</v>
      </c>
      <c r="E481" s="19">
        <v>0.17913366154945032</v>
      </c>
      <c r="F481" s="19">
        <v>2.9573309535231754E-2</v>
      </c>
      <c r="G481" s="19">
        <v>0.15306673223950051</v>
      </c>
    </row>
    <row r="482" spans="2:7" x14ac:dyDescent="0.3">
      <c r="B482" s="4" t="s">
        <v>240</v>
      </c>
      <c r="C482" s="19">
        <v>0.55827224605788195</v>
      </c>
      <c r="D482" s="19">
        <v>0.65947518027561824</v>
      </c>
      <c r="E482" s="19">
        <v>0.24203621255998181</v>
      </c>
      <c r="F482" s="19">
        <v>2.2142856014731264E-3</v>
      </c>
      <c r="G482" s="19">
        <v>0.48359615715180726</v>
      </c>
    </row>
    <row r="483" spans="2:7" x14ac:dyDescent="0.3">
      <c r="B483" s="4" t="s">
        <v>243</v>
      </c>
      <c r="C483" s="19">
        <v>0.57604181154871281</v>
      </c>
      <c r="D483" s="19">
        <v>0.57026360302019041</v>
      </c>
      <c r="E483" s="19">
        <v>0.17547584116456408</v>
      </c>
      <c r="F483" s="19">
        <v>4.3121356620009306E-6</v>
      </c>
      <c r="G483" s="19">
        <v>0.21216678233566805</v>
      </c>
    </row>
    <row r="484" spans="2:7" x14ac:dyDescent="0.3">
      <c r="B484" s="4" t="s">
        <v>246</v>
      </c>
      <c r="C484" s="19">
        <v>0.54390327831075314</v>
      </c>
      <c r="D484" s="19">
        <v>0.62099919257609149</v>
      </c>
      <c r="E484" s="19">
        <v>0.30790617615006244</v>
      </c>
      <c r="F484" s="19">
        <v>7.9991110853972151E-3</v>
      </c>
      <c r="G484" s="19">
        <v>0.43279809682930209</v>
      </c>
    </row>
    <row r="485" spans="2:7" x14ac:dyDescent="0.3">
      <c r="B485" s="4" t="s">
        <v>249</v>
      </c>
      <c r="C485" s="19">
        <v>0.44734117276180668</v>
      </c>
      <c r="D485" s="19">
        <v>0.78641720620332634</v>
      </c>
      <c r="E485" s="19">
        <v>0.20160757145098435</v>
      </c>
      <c r="F485" s="19">
        <v>1.0070889999336367E-3</v>
      </c>
      <c r="G485" s="19">
        <v>0.40043613711069814</v>
      </c>
    </row>
    <row r="486" spans="2:7" x14ac:dyDescent="0.3">
      <c r="B486" s="4" t="s">
        <v>252</v>
      </c>
      <c r="C486" s="19">
        <v>0.60667903033991843</v>
      </c>
      <c r="D486" s="19">
        <v>0.54366451901868607</v>
      </c>
      <c r="E486" s="19">
        <v>0.29248216622663326</v>
      </c>
      <c r="F486" s="19">
        <v>1.2831534909707428E-3</v>
      </c>
      <c r="G486" s="19">
        <v>0.21480392602458462</v>
      </c>
    </row>
    <row r="487" spans="2:7" x14ac:dyDescent="0.3">
      <c r="B487" s="4" t="s">
        <v>255</v>
      </c>
      <c r="C487" s="19">
        <v>0.54474591497527247</v>
      </c>
      <c r="D487" s="19">
        <v>0.65511915734483284</v>
      </c>
      <c r="E487" s="19">
        <v>0.322464912232033</v>
      </c>
      <c r="F487" s="19">
        <v>9.3000876370604134E-3</v>
      </c>
      <c r="G487" s="19">
        <v>0.42107661539004509</v>
      </c>
    </row>
    <row r="488" spans="2:7" x14ac:dyDescent="0.3">
      <c r="B488" s="4" t="s">
        <v>258</v>
      </c>
      <c r="C488" s="19">
        <v>0.45402199980319019</v>
      </c>
      <c r="D488" s="19">
        <v>0.67193400797852476</v>
      </c>
      <c r="E488" s="19">
        <v>0.30420029889087252</v>
      </c>
      <c r="F488" s="19">
        <v>7.0470708782808004E-3</v>
      </c>
      <c r="G488" s="19">
        <v>0.47787264361359483</v>
      </c>
    </row>
    <row r="489" spans="2:7" x14ac:dyDescent="0.3">
      <c r="B489" s="4" t="s">
        <v>261</v>
      </c>
      <c r="C489" s="19">
        <v>0.56672370624445378</v>
      </c>
      <c r="D489" s="19">
        <v>0.62770540702383215</v>
      </c>
      <c r="E489" s="19">
        <v>0.27966114640396855</v>
      </c>
      <c r="F489" s="19">
        <v>7.3606714155359521E-3</v>
      </c>
      <c r="G489" s="19">
        <v>0.22968066905666915</v>
      </c>
    </row>
    <row r="490" spans="2:7" x14ac:dyDescent="0.3">
      <c r="B490" s="4" t="s">
        <v>264</v>
      </c>
      <c r="C490" s="19">
        <v>0.50963115947880766</v>
      </c>
      <c r="D490" s="19">
        <v>0.73740224305599833</v>
      </c>
      <c r="E490" s="19">
        <v>0.21721154119983938</v>
      </c>
      <c r="F490" s="19">
        <v>1.5216417566217507E-3</v>
      </c>
      <c r="G490" s="19">
        <v>0.42581463336449682</v>
      </c>
    </row>
    <row r="491" spans="2:7" x14ac:dyDescent="0.3">
      <c r="B491" s="4" t="s">
        <v>267</v>
      </c>
      <c r="C491" s="19">
        <v>0.45955042531474999</v>
      </c>
      <c r="D491" s="19">
        <v>0.69791122393274918</v>
      </c>
      <c r="E491" s="19">
        <v>0.32531333069847285</v>
      </c>
      <c r="F491" s="19">
        <v>7.9377912521941037E-3</v>
      </c>
      <c r="G491" s="19">
        <v>0.44570014821715886</v>
      </c>
    </row>
    <row r="492" spans="2:7" x14ac:dyDescent="0.3">
      <c r="B492" s="4" t="s">
        <v>270</v>
      </c>
      <c r="C492" s="19">
        <v>0.63838391202799794</v>
      </c>
      <c r="D492" s="19">
        <v>0.74351954634410866</v>
      </c>
      <c r="E492" s="19">
        <v>0.22197404256434261</v>
      </c>
      <c r="F492" s="19">
        <v>1.0156756273066742E-3</v>
      </c>
      <c r="G492" s="19">
        <v>0.34825578530736079</v>
      </c>
    </row>
    <row r="493" spans="2:7" x14ac:dyDescent="0.3">
      <c r="B493" s="4" t="s">
        <v>273</v>
      </c>
      <c r="C493" s="19">
        <v>0.71822877922507533</v>
      </c>
      <c r="D493" s="19">
        <v>0.52832735371530559</v>
      </c>
      <c r="E493" s="19">
        <v>0.18357340403102795</v>
      </c>
      <c r="F493" s="19">
        <v>1.3255693961043971E-3</v>
      </c>
      <c r="G493" s="19">
        <v>0.31493841355432639</v>
      </c>
    </row>
    <row r="494" spans="2:7" x14ac:dyDescent="0.3">
      <c r="B494" s="4" t="s">
        <v>276</v>
      </c>
      <c r="C494" s="19">
        <v>6.7946201252019502</v>
      </c>
      <c r="D494" s="19">
        <v>0.52074489724644812</v>
      </c>
      <c r="E494" s="19">
        <v>3.8073943666521273</v>
      </c>
      <c r="F494" s="19">
        <v>0.31895771361953446</v>
      </c>
      <c r="G494" s="19">
        <v>2.5753023245929358</v>
      </c>
    </row>
    <row r="495" spans="2:7" x14ac:dyDescent="0.3">
      <c r="B495" s="4" t="s">
        <v>279</v>
      </c>
      <c r="C495" s="19">
        <v>12.270996299692476</v>
      </c>
      <c r="D495" s="19">
        <v>3.2889546449317333</v>
      </c>
      <c r="E495" s="19">
        <v>1.224354708340353</v>
      </c>
      <c r="F495" s="19">
        <v>1.3420579842070095</v>
      </c>
      <c r="G495" s="19">
        <v>2.9650059006187472</v>
      </c>
    </row>
    <row r="496" spans="2:7" x14ac:dyDescent="0.3">
      <c r="B496" s="4" t="s">
        <v>282</v>
      </c>
      <c r="C496" s="19">
        <v>13.292310566244195</v>
      </c>
      <c r="D496" s="19">
        <v>0.84902686207465605</v>
      </c>
      <c r="E496" s="19">
        <v>2.0594342653529196</v>
      </c>
      <c r="F496" s="19">
        <v>0.25325513903194891</v>
      </c>
      <c r="G496" s="19">
        <v>5.185337032762674</v>
      </c>
    </row>
    <row r="497" spans="2:7" x14ac:dyDescent="0.3">
      <c r="B497" s="4" t="s">
        <v>285</v>
      </c>
      <c r="C497" s="19">
        <v>6.4883685036007899</v>
      </c>
      <c r="D497" s="19">
        <v>1.1432697488285863</v>
      </c>
      <c r="E497" s="19">
        <v>2.3776700893425439E-2</v>
      </c>
      <c r="F497" s="19">
        <v>1.5986145978573343</v>
      </c>
      <c r="G497" s="19">
        <v>3.7945554076232173</v>
      </c>
    </row>
    <row r="498" spans="2:7" x14ac:dyDescent="0.3">
      <c r="B498" s="4" t="s">
        <v>288</v>
      </c>
      <c r="C498" s="19">
        <v>10.83808984675732</v>
      </c>
      <c r="D498" s="19">
        <v>2.823269078921451</v>
      </c>
      <c r="E498" s="19">
        <v>1.7620282893952348</v>
      </c>
      <c r="F498" s="19">
        <v>0.32708774204596214</v>
      </c>
      <c r="G498" s="19">
        <v>1.4278594035102758</v>
      </c>
    </row>
    <row r="499" spans="2:7" x14ac:dyDescent="0.3">
      <c r="B499" s="4" t="s">
        <v>291</v>
      </c>
      <c r="C499" s="19">
        <v>8.8255455427050211E-2</v>
      </c>
      <c r="D499" s="19">
        <v>1.1530214490759898</v>
      </c>
      <c r="E499" s="19">
        <v>3.1918700497620529</v>
      </c>
      <c r="F499" s="19">
        <v>2.166333485330219</v>
      </c>
      <c r="G499" s="19">
        <v>0.66700321539523488</v>
      </c>
    </row>
    <row r="500" spans="2:7" x14ac:dyDescent="0.3">
      <c r="B500" s="4" t="s">
        <v>294</v>
      </c>
      <c r="C500" s="19">
        <v>0.14620094892959865</v>
      </c>
      <c r="D500" s="19">
        <v>0.46229153844298032</v>
      </c>
      <c r="E500" s="19">
        <v>2.9555582587552005E-3</v>
      </c>
      <c r="F500" s="19">
        <v>2.8432748023185822E-2</v>
      </c>
      <c r="G500" s="19">
        <v>0.32637811474318662</v>
      </c>
    </row>
    <row r="501" spans="2:7" x14ac:dyDescent="0.3">
      <c r="B501" s="4" t="s">
        <v>297</v>
      </c>
      <c r="C501" s="19">
        <v>0.10947181210031683</v>
      </c>
      <c r="D501" s="19">
        <v>0.54688488106969035</v>
      </c>
      <c r="E501" s="19">
        <v>6.7558708330823392E-2</v>
      </c>
      <c r="F501" s="19">
        <v>8.560120450639877E-2</v>
      </c>
      <c r="G501" s="19">
        <v>0.11736045561592577</v>
      </c>
    </row>
    <row r="502" spans="2:7" x14ac:dyDescent="0.3">
      <c r="B502" s="4" t="s">
        <v>300</v>
      </c>
      <c r="C502" s="19">
        <v>0.51784742355350022</v>
      </c>
      <c r="D502" s="19">
        <v>1.4998664884064239</v>
      </c>
      <c r="E502" s="19">
        <v>0.20493188144109342</v>
      </c>
      <c r="F502" s="19">
        <v>0.45182736797760203</v>
      </c>
      <c r="G502" s="19">
        <v>3.4091259532597316</v>
      </c>
    </row>
    <row r="503" spans="2:7" x14ac:dyDescent="0.3">
      <c r="B503" s="4" t="s">
        <v>303</v>
      </c>
      <c r="C503" s="19">
        <v>0.51235098213655927</v>
      </c>
      <c r="D503" s="19">
        <v>1.2975909038696667</v>
      </c>
      <c r="E503" s="19">
        <v>0.10747356271588498</v>
      </c>
      <c r="F503" s="19">
        <v>0.20298269244302816</v>
      </c>
      <c r="G503" s="19">
        <v>3.1600604319895567</v>
      </c>
    </row>
    <row r="504" spans="2:7" x14ac:dyDescent="0.3">
      <c r="B504" s="4" t="s">
        <v>306</v>
      </c>
      <c r="C504" s="19">
        <v>0.44269708211254133</v>
      </c>
      <c r="D504" s="19">
        <v>1.2754302636091268</v>
      </c>
      <c r="E504" s="19">
        <v>0.17037403611093507</v>
      </c>
      <c r="F504" s="19">
        <v>0.39039968315347073</v>
      </c>
      <c r="G504" s="19">
        <v>2.034890996527261</v>
      </c>
    </row>
    <row r="505" spans="2:7" x14ac:dyDescent="0.3">
      <c r="B505" s="4" t="s">
        <v>309</v>
      </c>
      <c r="C505" s="19">
        <v>0.35852372274812422</v>
      </c>
      <c r="D505" s="19">
        <v>1.5876899714518902</v>
      </c>
      <c r="E505" s="19">
        <v>9.4064616150987964E-4</v>
      </c>
      <c r="F505" s="19">
        <v>7.3897569422947951E-2</v>
      </c>
      <c r="G505" s="19">
        <v>4.3089947271874598</v>
      </c>
    </row>
    <row r="506" spans="2:7" x14ac:dyDescent="0.3">
      <c r="B506" s="4" t="s">
        <v>312</v>
      </c>
      <c r="C506" s="19">
        <v>0.53991127906765568</v>
      </c>
      <c r="D506" s="19">
        <v>0.76273769683258086</v>
      </c>
      <c r="E506" s="19">
        <v>3.083829522988359E-2</v>
      </c>
      <c r="F506" s="19">
        <v>9.7273747314563369E-2</v>
      </c>
      <c r="G506" s="19">
        <v>5.4303419308615417E-2</v>
      </c>
    </row>
    <row r="507" spans="2:7" x14ac:dyDescent="0.3">
      <c r="B507" s="4" t="s">
        <v>315</v>
      </c>
      <c r="C507" s="19">
        <v>0.67119567710267258</v>
      </c>
      <c r="D507" s="19">
        <v>1.2331304535635024</v>
      </c>
      <c r="E507" s="19">
        <v>4.3912205744830256E-2</v>
      </c>
      <c r="F507" s="19">
        <v>1.0599162810330152E-2</v>
      </c>
      <c r="G507" s="19">
        <v>0.75158107487746406</v>
      </c>
    </row>
    <row r="508" spans="2:7" x14ac:dyDescent="0.3">
      <c r="B508" s="4" t="s">
        <v>318</v>
      </c>
      <c r="C508" s="19">
        <v>0.36136426343572475</v>
      </c>
      <c r="D508" s="19">
        <v>0.73821482789679704</v>
      </c>
      <c r="E508" s="19">
        <v>3.5529360255690222E-2</v>
      </c>
      <c r="F508" s="19">
        <v>1.673304063735543E-2</v>
      </c>
      <c r="G508" s="19">
        <v>0.21418268302059082</v>
      </c>
    </row>
    <row r="509" spans="2:7" x14ac:dyDescent="0.3">
      <c r="B509" s="4" t="s">
        <v>321</v>
      </c>
      <c r="C509" s="19">
        <v>0.11283649602013544</v>
      </c>
      <c r="D509" s="19">
        <v>1.0551867921177356</v>
      </c>
      <c r="E509" s="19">
        <v>1.8060260154879049E-2</v>
      </c>
      <c r="F509" s="19">
        <v>3.0264855133653835E-2</v>
      </c>
      <c r="G509" s="19">
        <v>0.68061540628935302</v>
      </c>
    </row>
    <row r="510" spans="2:7" ht="15" thickBot="1" x14ac:dyDescent="0.35">
      <c r="B510" s="17" t="s">
        <v>324</v>
      </c>
      <c r="C510" s="20">
        <v>0.31170830252701281</v>
      </c>
      <c r="D510" s="20">
        <v>1.1375172139377465</v>
      </c>
      <c r="E510" s="20">
        <v>0.29033055632942784</v>
      </c>
      <c r="F510" s="20">
        <v>0.38879356817732674</v>
      </c>
      <c r="G510" s="20">
        <v>0.96182694892341125</v>
      </c>
    </row>
    <row r="513" spans="2:3" x14ac:dyDescent="0.3">
      <c r="B513" t="s">
        <v>381</v>
      </c>
    </row>
    <row r="514" spans="2:3" ht="15" thickBot="1" x14ac:dyDescent="0.35"/>
    <row r="515" spans="2:3" x14ac:dyDescent="0.3">
      <c r="B515" s="6"/>
      <c r="C515" s="7" t="s">
        <v>382</v>
      </c>
    </row>
    <row r="516" spans="2:3" x14ac:dyDescent="0.3">
      <c r="B516" s="16" t="s">
        <v>346</v>
      </c>
      <c r="C516" s="18">
        <v>0.1111111111111111</v>
      </c>
    </row>
    <row r="517" spans="2:3" x14ac:dyDescent="0.3">
      <c r="B517" s="4" t="s">
        <v>347</v>
      </c>
      <c r="C517" s="19">
        <v>0.29292929292929298</v>
      </c>
    </row>
    <row r="518" spans="2:3" x14ac:dyDescent="0.3">
      <c r="B518" s="4" t="s">
        <v>348</v>
      </c>
      <c r="C518" s="19">
        <v>0.13131313131313133</v>
      </c>
    </row>
    <row r="519" spans="2:3" x14ac:dyDescent="0.3">
      <c r="B519" s="4" t="s">
        <v>349</v>
      </c>
      <c r="C519" s="19">
        <v>9.0909090909090925E-2</v>
      </c>
    </row>
    <row r="520" spans="2:3" ht="15" thickBot="1" x14ac:dyDescent="0.35">
      <c r="B520" s="17" t="s">
        <v>350</v>
      </c>
      <c r="C520" s="20">
        <v>0.22222222222222224</v>
      </c>
    </row>
    <row r="540" spans="2:7" x14ac:dyDescent="0.3">
      <c r="G540" t="s">
        <v>372</v>
      </c>
    </row>
    <row r="543" spans="2:7" x14ac:dyDescent="0.3">
      <c r="B543" t="s">
        <v>383</v>
      </c>
    </row>
    <row r="544" spans="2:7" ht="15" thickBot="1" x14ac:dyDescent="0.35"/>
    <row r="545" spans="2:7" x14ac:dyDescent="0.3">
      <c r="B545" s="6"/>
      <c r="C545" s="7" t="s">
        <v>346</v>
      </c>
      <c r="D545" s="7" t="s">
        <v>347</v>
      </c>
      <c r="E545" s="7" t="s">
        <v>348</v>
      </c>
      <c r="F545" s="7" t="s">
        <v>349</v>
      </c>
      <c r="G545" s="7" t="s">
        <v>350</v>
      </c>
    </row>
    <row r="546" spans="2:7" x14ac:dyDescent="0.3">
      <c r="B546" s="16" t="s">
        <v>30</v>
      </c>
      <c r="C546" s="18">
        <v>0.12712698053571819</v>
      </c>
      <c r="D546" s="21">
        <v>0.4416795934850698</v>
      </c>
      <c r="E546" s="18">
        <v>0.22897097382887061</v>
      </c>
      <c r="F546" s="18">
        <v>0.11751910457906567</v>
      </c>
      <c r="G546" s="18">
        <v>6.4040519698556925E-2</v>
      </c>
    </row>
    <row r="547" spans="2:7" x14ac:dyDescent="0.3">
      <c r="B547" s="4" t="s">
        <v>33</v>
      </c>
      <c r="C547" s="19">
        <v>0.1203153389139172</v>
      </c>
      <c r="D547" s="23">
        <v>0.45871953322672232</v>
      </c>
      <c r="E547" s="19">
        <v>0.24015949861100744</v>
      </c>
      <c r="F547" s="19">
        <v>0.11280244736321959</v>
      </c>
      <c r="G547" s="19">
        <v>4.1214054740334259E-2</v>
      </c>
    </row>
    <row r="548" spans="2:7" x14ac:dyDescent="0.3">
      <c r="B548" s="4" t="s">
        <v>36</v>
      </c>
      <c r="C548" s="19">
        <v>8.9984321091528735E-2</v>
      </c>
      <c r="D548" s="23">
        <v>0.46782538003281909</v>
      </c>
      <c r="E548" s="19">
        <v>0.25169956677503574</v>
      </c>
      <c r="F548" s="19">
        <v>0.11366107922010628</v>
      </c>
      <c r="G548" s="19">
        <v>5.4222581027766906E-2</v>
      </c>
    </row>
    <row r="549" spans="2:7" x14ac:dyDescent="0.3">
      <c r="B549" s="4" t="s">
        <v>39</v>
      </c>
      <c r="C549" s="23">
        <v>0.31957036704128478</v>
      </c>
      <c r="D549" s="19">
        <v>0.12062201865131543</v>
      </c>
      <c r="E549" s="19">
        <v>8.3943143437149481E-2</v>
      </c>
      <c r="F549" s="19">
        <v>0.12165294075921794</v>
      </c>
      <c r="G549" s="19">
        <v>5.3393369141923712E-3</v>
      </c>
    </row>
    <row r="550" spans="2:7" x14ac:dyDescent="0.3">
      <c r="B550" s="4" t="s">
        <v>42</v>
      </c>
      <c r="C550" s="19">
        <v>0.2224109512663151</v>
      </c>
      <c r="D550" s="23">
        <v>0.60335241595283395</v>
      </c>
      <c r="E550" s="19">
        <v>0.12285385688376955</v>
      </c>
      <c r="F550" s="19">
        <v>4.2966397749380839E-3</v>
      </c>
      <c r="G550" s="19">
        <v>6.3122948140086526E-3</v>
      </c>
    </row>
    <row r="551" spans="2:7" x14ac:dyDescent="0.3">
      <c r="B551" s="4" t="s">
        <v>45</v>
      </c>
      <c r="C551" s="23">
        <v>0.18304921698752216</v>
      </c>
      <c r="D551" s="19">
        <v>3.5762700298472803E-2</v>
      </c>
      <c r="E551" s="19">
        <v>2.2121380973339082E-2</v>
      </c>
      <c r="F551" s="19">
        <v>2.603466169795364E-3</v>
      </c>
      <c r="G551" s="19">
        <v>2.0387265053924846E-3</v>
      </c>
    </row>
    <row r="552" spans="2:7" x14ac:dyDescent="0.3">
      <c r="B552" s="4" t="s">
        <v>48</v>
      </c>
      <c r="C552" s="23">
        <v>0.20707885781792248</v>
      </c>
      <c r="D552" s="19">
        <v>4.4720654140712454E-2</v>
      </c>
      <c r="E552" s="19">
        <v>3.8386832708676516E-2</v>
      </c>
      <c r="F552" s="19">
        <v>1.2498484022043753E-2</v>
      </c>
      <c r="G552" s="19">
        <v>1.8481969087619059E-3</v>
      </c>
    </row>
    <row r="553" spans="2:7" x14ac:dyDescent="0.3">
      <c r="B553" s="4" t="s">
        <v>51</v>
      </c>
      <c r="C553" s="19">
        <v>0.18303473685531152</v>
      </c>
      <c r="D553" s="23">
        <v>0.38250753833090628</v>
      </c>
      <c r="E553" s="19">
        <v>0.11854764129536133</v>
      </c>
      <c r="F553" s="19">
        <v>2.8811364532012895E-2</v>
      </c>
      <c r="G553" s="19">
        <v>7.7752913330321596E-2</v>
      </c>
    </row>
    <row r="554" spans="2:7" x14ac:dyDescent="0.3">
      <c r="B554" s="4" t="s">
        <v>54</v>
      </c>
      <c r="C554" s="19">
        <v>0.2095614043230668</v>
      </c>
      <c r="D554" s="23">
        <v>0.41902832212609403</v>
      </c>
      <c r="E554" s="19">
        <v>1.6154457413486391E-2</v>
      </c>
      <c r="F554" s="19">
        <v>2.2480681601340854E-3</v>
      </c>
      <c r="G554" s="19">
        <v>4.7240539198014596E-3</v>
      </c>
    </row>
    <row r="555" spans="2:7" x14ac:dyDescent="0.3">
      <c r="B555" s="4" t="s">
        <v>57</v>
      </c>
      <c r="C555" s="19">
        <v>0.18430501892255169</v>
      </c>
      <c r="D555" s="23">
        <v>0.38762403995028039</v>
      </c>
      <c r="E555" s="19">
        <v>0.1538266713252108</v>
      </c>
      <c r="F555" s="19">
        <v>9.9074725236893428E-4</v>
      </c>
      <c r="G555" s="19">
        <v>4.9817039360914184E-3</v>
      </c>
    </row>
    <row r="556" spans="2:7" x14ac:dyDescent="0.3">
      <c r="B556" s="4" t="s">
        <v>60</v>
      </c>
      <c r="C556" s="19">
        <v>0.20008260174509532</v>
      </c>
      <c r="D556" s="23">
        <v>0.46631009377699256</v>
      </c>
      <c r="E556" s="19">
        <v>7.3569111112169891E-2</v>
      </c>
      <c r="F556" s="19">
        <v>1.4031364832984609E-2</v>
      </c>
      <c r="G556" s="19">
        <v>9.013734457288583E-2</v>
      </c>
    </row>
    <row r="557" spans="2:7" x14ac:dyDescent="0.3">
      <c r="B557" s="4" t="s">
        <v>63</v>
      </c>
      <c r="C557" s="23">
        <v>0.48505026040502236</v>
      </c>
      <c r="D557" s="19">
        <v>0.14671944709468376</v>
      </c>
      <c r="E557" s="19">
        <v>0.17646631260392914</v>
      </c>
      <c r="F557" s="19">
        <v>1.6605035732300036E-3</v>
      </c>
      <c r="G557" s="19">
        <v>1.960471523172044E-2</v>
      </c>
    </row>
    <row r="558" spans="2:7" x14ac:dyDescent="0.3">
      <c r="B558" s="4" t="s">
        <v>66</v>
      </c>
      <c r="C558" s="23">
        <v>0.38678065752974528</v>
      </c>
      <c r="D558" s="19">
        <v>0.29975926698184824</v>
      </c>
      <c r="E558" s="19">
        <v>8.7285830323410668E-2</v>
      </c>
      <c r="F558" s="19">
        <v>1.6878541642945681E-5</v>
      </c>
      <c r="G558" s="19">
        <v>1.0207559955904071E-3</v>
      </c>
    </row>
    <row r="559" spans="2:7" x14ac:dyDescent="0.3">
      <c r="B559" s="4" t="s">
        <v>69</v>
      </c>
      <c r="C559" s="23">
        <v>0.44366479985364526</v>
      </c>
      <c r="D559" s="19">
        <v>0.22876986517367368</v>
      </c>
      <c r="E559" s="19">
        <v>0.14576988745990702</v>
      </c>
      <c r="F559" s="19">
        <v>1.7685264225439711E-2</v>
      </c>
      <c r="G559" s="19">
        <v>1.7685278002323094E-3</v>
      </c>
    </row>
    <row r="560" spans="2:7" x14ac:dyDescent="0.3">
      <c r="B560" s="4" t="s">
        <v>72</v>
      </c>
      <c r="C560" s="23">
        <v>0.43483483508751347</v>
      </c>
      <c r="D560" s="19">
        <v>0.17536388460467825</v>
      </c>
      <c r="E560" s="19">
        <v>0.15449062991533741</v>
      </c>
      <c r="F560" s="19">
        <v>1.0027668265482361E-3</v>
      </c>
      <c r="G560" s="19">
        <v>7.9576559374218111E-4</v>
      </c>
    </row>
    <row r="561" spans="2:7" x14ac:dyDescent="0.3">
      <c r="B561" s="4" t="s">
        <v>75</v>
      </c>
      <c r="C561" s="23">
        <v>0.40707632861047599</v>
      </c>
      <c r="D561" s="19">
        <v>0.19023934640069523</v>
      </c>
      <c r="E561" s="19">
        <v>0.22131005805854703</v>
      </c>
      <c r="F561" s="19">
        <v>1.5946291643475371E-5</v>
      </c>
      <c r="G561" s="19">
        <v>5.3969214975285893E-3</v>
      </c>
    </row>
    <row r="562" spans="2:7" x14ac:dyDescent="0.3">
      <c r="B562" s="4" t="s">
        <v>78</v>
      </c>
      <c r="C562" s="23">
        <v>0.38106098481812234</v>
      </c>
      <c r="D562" s="19">
        <v>0.2038357985044979</v>
      </c>
      <c r="E562" s="19">
        <v>3.3335123305002518E-2</v>
      </c>
      <c r="F562" s="19">
        <v>3.4477207049412074E-2</v>
      </c>
      <c r="G562" s="19">
        <v>9.828150362452822E-3</v>
      </c>
    </row>
    <row r="563" spans="2:7" x14ac:dyDescent="0.3">
      <c r="B563" s="4" t="s">
        <v>81</v>
      </c>
      <c r="C563" s="19">
        <v>0.37047451197484427</v>
      </c>
      <c r="D563" s="23">
        <v>0.3900474026700006</v>
      </c>
      <c r="E563" s="19">
        <v>0.15341845620398273</v>
      </c>
      <c r="F563" s="19">
        <v>4.2834364562559157E-3</v>
      </c>
      <c r="G563" s="19">
        <v>2.3015071632964346E-2</v>
      </c>
    </row>
    <row r="564" spans="2:7" x14ac:dyDescent="0.3">
      <c r="B564" s="4" t="s">
        <v>84</v>
      </c>
      <c r="C564" s="23">
        <v>0.39517601999636243</v>
      </c>
      <c r="D564" s="19">
        <v>2.4418390843513678E-3</v>
      </c>
      <c r="E564" s="19">
        <v>1.397638284585271E-2</v>
      </c>
      <c r="F564" s="19">
        <v>4.0170574773953756E-2</v>
      </c>
      <c r="G564" s="19">
        <v>1.2842217221793144E-2</v>
      </c>
    </row>
    <row r="565" spans="2:7" x14ac:dyDescent="0.3">
      <c r="B565" s="4" t="s">
        <v>87</v>
      </c>
      <c r="C565" s="19">
        <v>9.6191908386966604E-2</v>
      </c>
      <c r="D565" s="23">
        <v>0.49618639276693571</v>
      </c>
      <c r="E565" s="19">
        <v>9.6901762759794438E-2</v>
      </c>
      <c r="F565" s="19">
        <v>4.1339149384096979E-3</v>
      </c>
      <c r="G565" s="19">
        <v>6.322896614014902E-3</v>
      </c>
    </row>
    <row r="566" spans="2:7" x14ac:dyDescent="0.3">
      <c r="B566" s="4" t="s">
        <v>90</v>
      </c>
      <c r="C566" s="23">
        <v>0.44146928084465592</v>
      </c>
      <c r="D566" s="19">
        <v>1.5145699479401685E-2</v>
      </c>
      <c r="E566" s="19">
        <v>8.343110108882526E-2</v>
      </c>
      <c r="F566" s="19">
        <v>2.3661281061356131E-2</v>
      </c>
      <c r="G566" s="19">
        <v>9.0480488800277218E-7</v>
      </c>
    </row>
    <row r="567" spans="2:7" x14ac:dyDescent="0.3">
      <c r="B567" s="4" t="s">
        <v>93</v>
      </c>
      <c r="C567" s="23">
        <v>0.33807430370412833</v>
      </c>
      <c r="D567" s="19">
        <v>0.2896704386374867</v>
      </c>
      <c r="E567" s="19">
        <v>0.17137054745175187</v>
      </c>
      <c r="F567" s="19">
        <v>1.963234992113747E-3</v>
      </c>
      <c r="G567" s="19">
        <v>4.8187763803530801E-3</v>
      </c>
    </row>
    <row r="568" spans="2:7" x14ac:dyDescent="0.3">
      <c r="B568" s="4" t="s">
        <v>96</v>
      </c>
      <c r="C568" s="19">
        <v>0.3195927641153975</v>
      </c>
      <c r="D568" s="23">
        <v>0.33852086601411552</v>
      </c>
      <c r="E568" s="19">
        <v>8.618100550684149E-2</v>
      </c>
      <c r="F568" s="19">
        <v>2.5976772756178337E-3</v>
      </c>
      <c r="G568" s="19">
        <v>4.4624677693284286E-3</v>
      </c>
    </row>
    <row r="569" spans="2:7" x14ac:dyDescent="0.3">
      <c r="B569" s="4" t="s">
        <v>99</v>
      </c>
      <c r="C569" s="23">
        <v>0.14708032350311381</v>
      </c>
      <c r="D569" s="19">
        <v>0.12462129876515878</v>
      </c>
      <c r="E569" s="19">
        <v>2.1726782411024891E-2</v>
      </c>
      <c r="F569" s="19">
        <v>2.4661425469008915E-3</v>
      </c>
      <c r="G569" s="19">
        <v>4.1274554743976816E-2</v>
      </c>
    </row>
    <row r="570" spans="2:7" x14ac:dyDescent="0.3">
      <c r="B570" s="4" t="s">
        <v>102</v>
      </c>
      <c r="C570" s="19">
        <v>0.20262281113150621</v>
      </c>
      <c r="D570" s="23">
        <v>0.41591875158937308</v>
      </c>
      <c r="E570" s="19">
        <v>0.12611596828916247</v>
      </c>
      <c r="F570" s="19">
        <v>2.3117718242269041E-2</v>
      </c>
      <c r="G570" s="19">
        <v>8.6605063606328012E-2</v>
      </c>
    </row>
    <row r="571" spans="2:7" x14ac:dyDescent="0.3">
      <c r="B571" s="4" t="s">
        <v>105</v>
      </c>
      <c r="C571" s="19">
        <v>0.12650587257215382</v>
      </c>
      <c r="D571" s="23">
        <v>0.27634485476945375</v>
      </c>
      <c r="E571" s="19">
        <v>0.17179676922884035</v>
      </c>
      <c r="F571" s="19">
        <v>5.9832838542793629E-2</v>
      </c>
      <c r="G571" s="19">
        <v>4.1566007176169137E-2</v>
      </c>
    </row>
    <row r="572" spans="2:7" x14ac:dyDescent="0.3">
      <c r="B572" s="4" t="s">
        <v>108</v>
      </c>
      <c r="C572" s="19">
        <v>3.7071826438946492E-2</v>
      </c>
      <c r="D572" s="23">
        <v>0.4351649779650491</v>
      </c>
      <c r="E572" s="19">
        <v>0.26748343474027841</v>
      </c>
      <c r="F572" s="19">
        <v>8.3231167435046937E-5</v>
      </c>
      <c r="G572" s="19">
        <v>3.3434727579615404E-3</v>
      </c>
    </row>
    <row r="573" spans="2:7" x14ac:dyDescent="0.3">
      <c r="B573" s="4" t="s">
        <v>111</v>
      </c>
      <c r="C573" s="19">
        <v>0.10458193962979279</v>
      </c>
      <c r="D573" s="19">
        <v>0.14246439558661841</v>
      </c>
      <c r="E573" s="23">
        <v>0.43210085839603368</v>
      </c>
      <c r="F573" s="19">
        <v>1.3246377256304414E-2</v>
      </c>
      <c r="G573" s="19">
        <v>2.1593991202633576E-2</v>
      </c>
    </row>
    <row r="574" spans="2:7" x14ac:dyDescent="0.3">
      <c r="B574" s="4" t="s">
        <v>114</v>
      </c>
      <c r="C574" s="23">
        <v>0.45790444071281733</v>
      </c>
      <c r="D574" s="19">
        <v>0.18228020096091085</v>
      </c>
      <c r="E574" s="19">
        <v>7.2639848092343112E-2</v>
      </c>
      <c r="F574" s="19">
        <v>5.6048185852270414E-3</v>
      </c>
      <c r="G574" s="19">
        <v>8.2853821843272158E-3</v>
      </c>
    </row>
    <row r="575" spans="2:7" x14ac:dyDescent="0.3">
      <c r="B575" s="4" t="s">
        <v>117</v>
      </c>
      <c r="C575" s="19">
        <v>0.20564089041216088</v>
      </c>
      <c r="D575" s="23">
        <v>0.57864524776134862</v>
      </c>
      <c r="E575" s="19">
        <v>0.13146505701162536</v>
      </c>
      <c r="F575" s="19">
        <v>5.1460626844833477E-4</v>
      </c>
      <c r="G575" s="19">
        <v>1.1675142743300049E-2</v>
      </c>
    </row>
    <row r="576" spans="2:7" x14ac:dyDescent="0.3">
      <c r="B576" s="4" t="s">
        <v>120</v>
      </c>
      <c r="C576" s="23">
        <v>0.66236877456906229</v>
      </c>
      <c r="D576" s="19">
        <v>4.2455400172977401E-2</v>
      </c>
      <c r="E576" s="19">
        <v>2.8930315693698229E-3</v>
      </c>
      <c r="F576" s="19">
        <v>0.10345100048700771</v>
      </c>
      <c r="G576" s="19">
        <v>5.1290115573360016E-2</v>
      </c>
    </row>
    <row r="577" spans="2:7" x14ac:dyDescent="0.3">
      <c r="B577" s="4" t="s">
        <v>123</v>
      </c>
      <c r="C577" s="23">
        <v>0.33724590333457749</v>
      </c>
      <c r="D577" s="19">
        <v>0.27949000356841763</v>
      </c>
      <c r="E577" s="19">
        <v>9.6056970416551462E-3</v>
      </c>
      <c r="F577" s="19">
        <v>4.351655879645213E-2</v>
      </c>
      <c r="G577" s="19">
        <v>0.1117319106496409</v>
      </c>
    </row>
    <row r="578" spans="2:7" x14ac:dyDescent="0.3">
      <c r="B578" s="4" t="s">
        <v>126</v>
      </c>
      <c r="C578" s="23">
        <v>0.36650385137373925</v>
      </c>
      <c r="D578" s="19">
        <v>0.23609575020968648</v>
      </c>
      <c r="E578" s="19">
        <v>0.10002853168959755</v>
      </c>
      <c r="F578" s="19">
        <v>2.8547920026329485E-2</v>
      </c>
      <c r="G578" s="19">
        <v>0.11141303610121372</v>
      </c>
    </row>
    <row r="579" spans="2:7" x14ac:dyDescent="0.3">
      <c r="B579" s="4" t="s">
        <v>129</v>
      </c>
      <c r="C579" s="19">
        <v>0.14108255757911281</v>
      </c>
      <c r="D579" s="23">
        <v>0.6015817696254171</v>
      </c>
      <c r="E579" s="19">
        <v>0.15329485492356509</v>
      </c>
      <c r="F579" s="19">
        <v>2.5593272203834521E-3</v>
      </c>
      <c r="G579" s="19">
        <v>4.6554726436474764E-3</v>
      </c>
    </row>
    <row r="580" spans="2:7" x14ac:dyDescent="0.3">
      <c r="B580" s="4" t="s">
        <v>132</v>
      </c>
      <c r="C580" s="19">
        <v>0.26748035424684274</v>
      </c>
      <c r="D580" s="23">
        <v>0.42690257316199542</v>
      </c>
      <c r="E580" s="19">
        <v>0.17709411160880256</v>
      </c>
      <c r="F580" s="19">
        <v>1.0761531061264788E-2</v>
      </c>
      <c r="G580" s="19">
        <v>4.8467549440794483E-2</v>
      </c>
    </row>
    <row r="581" spans="2:7" x14ac:dyDescent="0.3">
      <c r="B581" s="4" t="s">
        <v>135</v>
      </c>
      <c r="C581" s="23">
        <v>0.31856176174850842</v>
      </c>
      <c r="D581" s="19">
        <v>5.8507535028799549E-3</v>
      </c>
      <c r="E581" s="19">
        <v>0.31454810672872757</v>
      </c>
      <c r="F581" s="19">
        <v>9.9499381325361472E-3</v>
      </c>
      <c r="G581" s="19">
        <v>9.4187533323723625E-3</v>
      </c>
    </row>
    <row r="582" spans="2:7" x14ac:dyDescent="0.3">
      <c r="B582" s="4" t="s">
        <v>138</v>
      </c>
      <c r="C582" s="19">
        <v>0.15909117326684905</v>
      </c>
      <c r="D582" s="19">
        <v>4.0592470665231956E-4</v>
      </c>
      <c r="E582" s="23">
        <v>0.33277300337779475</v>
      </c>
      <c r="F582" s="19">
        <v>3.6894176481923634E-2</v>
      </c>
      <c r="G582" s="19">
        <v>5.0427582183691762E-2</v>
      </c>
    </row>
    <row r="583" spans="2:7" x14ac:dyDescent="0.3">
      <c r="B583" s="4" t="s">
        <v>141</v>
      </c>
      <c r="C583" s="23">
        <v>0.29943480730228333</v>
      </c>
      <c r="D583" s="19">
        <v>0.20761152888124731</v>
      </c>
      <c r="E583" s="19">
        <v>9.7790398830410769E-2</v>
      </c>
      <c r="F583" s="19">
        <v>5.7236094364718833E-2</v>
      </c>
      <c r="G583" s="19">
        <v>0.11652308606322206</v>
      </c>
    </row>
    <row r="584" spans="2:7" x14ac:dyDescent="0.3">
      <c r="B584" s="4" t="s">
        <v>144</v>
      </c>
      <c r="C584" s="23">
        <v>0.28846749841181663</v>
      </c>
      <c r="D584" s="19">
        <v>0.14077375721329244</v>
      </c>
      <c r="E584" s="19">
        <v>4.4644231591199485E-2</v>
      </c>
      <c r="F584" s="19">
        <v>4.2355557250345855E-3</v>
      </c>
      <c r="G584" s="19">
        <v>1.3036998145420408E-2</v>
      </c>
    </row>
    <row r="585" spans="2:7" x14ac:dyDescent="0.3">
      <c r="B585" s="4" t="s">
        <v>147</v>
      </c>
      <c r="C585" s="23">
        <v>0.37883524262711127</v>
      </c>
      <c r="D585" s="19">
        <v>0.17864027952602268</v>
      </c>
      <c r="E585" s="19">
        <v>7.3443132880294082E-2</v>
      </c>
      <c r="F585" s="19">
        <v>9.5813536526885448E-4</v>
      </c>
      <c r="G585" s="19">
        <v>3.6159146754775732E-4</v>
      </c>
    </row>
    <row r="586" spans="2:7" x14ac:dyDescent="0.3">
      <c r="B586" s="4" t="s">
        <v>150</v>
      </c>
      <c r="C586" s="23">
        <v>0.29376124226216616</v>
      </c>
      <c r="D586" s="19">
        <v>0.25383492702987492</v>
      </c>
      <c r="E586" s="19">
        <v>0.21174280980466689</v>
      </c>
      <c r="F586" s="19">
        <v>6.2870431602143819E-4</v>
      </c>
      <c r="G586" s="19">
        <v>3.3005212000549358E-6</v>
      </c>
    </row>
    <row r="587" spans="2:7" x14ac:dyDescent="0.3">
      <c r="B587" s="4" t="s">
        <v>153</v>
      </c>
      <c r="C587" s="19">
        <v>0.18964839730070127</v>
      </c>
      <c r="D587" s="23">
        <v>0.48494986861947986</v>
      </c>
      <c r="E587" s="19">
        <v>4.25856321753276E-3</v>
      </c>
      <c r="F587" s="19">
        <v>1.5071361886628437E-2</v>
      </c>
      <c r="G587" s="19">
        <v>9.5238916108170743E-2</v>
      </c>
    </row>
    <row r="588" spans="2:7" x14ac:dyDescent="0.3">
      <c r="B588" s="4" t="s">
        <v>156</v>
      </c>
      <c r="C588" s="19">
        <v>0.2054961654698472</v>
      </c>
      <c r="D588" s="23">
        <v>0.29123894107788273</v>
      </c>
      <c r="E588" s="19">
        <v>4.4733254447524504E-2</v>
      </c>
      <c r="F588" s="19">
        <v>2.8196017938367329E-2</v>
      </c>
      <c r="G588" s="19">
        <v>6.6261661113785463E-3</v>
      </c>
    </row>
    <row r="589" spans="2:7" x14ac:dyDescent="0.3">
      <c r="B589" s="4" t="s">
        <v>159</v>
      </c>
      <c r="C589" s="19">
        <v>0.20740312194523897</v>
      </c>
      <c r="D589" s="23">
        <v>0.3576990586770244</v>
      </c>
      <c r="E589" s="19">
        <v>0.14004931530555526</v>
      </c>
      <c r="F589" s="19">
        <v>5.2670688654233189E-2</v>
      </c>
      <c r="G589" s="19">
        <v>8.1842416688531178E-2</v>
      </c>
    </row>
    <row r="590" spans="2:7" x14ac:dyDescent="0.3">
      <c r="B590" s="4" t="s">
        <v>162</v>
      </c>
      <c r="C590" s="23">
        <v>0.17191927500999205</v>
      </c>
      <c r="D590" s="19">
        <v>6.8586314981395224E-2</v>
      </c>
      <c r="E590" s="19">
        <v>0.13496365258004428</v>
      </c>
      <c r="F590" s="19">
        <v>6.8889515668748458E-2</v>
      </c>
      <c r="G590" s="19">
        <v>0.15500486196230948</v>
      </c>
    </row>
    <row r="591" spans="2:7" x14ac:dyDescent="0.3">
      <c r="B591" s="4" t="s">
        <v>165</v>
      </c>
      <c r="C591" s="19">
        <v>0.25453493019237855</v>
      </c>
      <c r="D591" s="23">
        <v>0.37163807417705869</v>
      </c>
      <c r="E591" s="19">
        <v>5.0466251185728086E-3</v>
      </c>
      <c r="F591" s="19">
        <v>2.6452393763816516E-5</v>
      </c>
      <c r="G591" s="19">
        <v>1.7128643416127437E-2</v>
      </c>
    </row>
    <row r="592" spans="2:7" x14ac:dyDescent="0.3">
      <c r="B592" s="4" t="s">
        <v>168</v>
      </c>
      <c r="C592" s="23">
        <v>0.26087075735686149</v>
      </c>
      <c r="D592" s="19">
        <v>0.25450657057303139</v>
      </c>
      <c r="E592" s="19">
        <v>0.18910403631294959</v>
      </c>
      <c r="F592" s="19">
        <v>4.272837845982333E-2</v>
      </c>
      <c r="G592" s="19">
        <v>4.8655628422802757E-2</v>
      </c>
    </row>
    <row r="593" spans="2:7" x14ac:dyDescent="0.3">
      <c r="B593" s="4" t="s">
        <v>171</v>
      </c>
      <c r="C593" s="23">
        <v>0.19909555549421365</v>
      </c>
      <c r="D593" s="19">
        <v>8.3149283891604933E-2</v>
      </c>
      <c r="E593" s="19">
        <v>4.0978765144275335E-2</v>
      </c>
      <c r="F593" s="19">
        <v>2.6401576702067761E-2</v>
      </c>
      <c r="G593" s="19">
        <v>3.3210105645581488E-2</v>
      </c>
    </row>
    <row r="594" spans="2:7" x14ac:dyDescent="0.3">
      <c r="B594" s="4" t="s">
        <v>174</v>
      </c>
      <c r="C594" s="23">
        <v>0.75956272601850461</v>
      </c>
      <c r="D594" s="19">
        <v>9.2364606179008893E-2</v>
      </c>
      <c r="E594" s="19">
        <v>4.9321533585700884E-3</v>
      </c>
      <c r="F594" s="19">
        <v>1.345506430194604E-2</v>
      </c>
      <c r="G594" s="19">
        <v>0.10400659167734994</v>
      </c>
    </row>
    <row r="595" spans="2:7" x14ac:dyDescent="0.3">
      <c r="B595" s="4" t="s">
        <v>177</v>
      </c>
      <c r="C595" s="23">
        <v>0.77590749570285622</v>
      </c>
      <c r="D595" s="19">
        <v>2.9563614383249079E-3</v>
      </c>
      <c r="E595" s="19">
        <v>1.1989244767720878E-2</v>
      </c>
      <c r="F595" s="19">
        <v>4.7583214077667572E-2</v>
      </c>
      <c r="G595" s="19">
        <v>0.13968046088204789</v>
      </c>
    </row>
    <row r="596" spans="2:7" x14ac:dyDescent="0.3">
      <c r="B596" s="4" t="s">
        <v>180</v>
      </c>
      <c r="C596" s="23">
        <v>0.60794523917389298</v>
      </c>
      <c r="D596" s="19">
        <v>6.4691189503640778E-2</v>
      </c>
      <c r="E596" s="19">
        <v>8.108439180216237E-2</v>
      </c>
      <c r="F596" s="19">
        <v>9.2741825260555272E-2</v>
      </c>
      <c r="G596" s="19">
        <v>0.14330462380409195</v>
      </c>
    </row>
    <row r="597" spans="2:7" x14ac:dyDescent="0.3">
      <c r="B597" s="4" t="s">
        <v>183</v>
      </c>
      <c r="C597" s="23">
        <v>0.43130031685510078</v>
      </c>
      <c r="D597" s="19">
        <v>0.15917332588891678</v>
      </c>
      <c r="E597" s="19">
        <v>0.12569498310215652</v>
      </c>
      <c r="F597" s="19">
        <v>0.11299307380149938</v>
      </c>
      <c r="G597" s="19">
        <v>0.14165200931843561</v>
      </c>
    </row>
    <row r="598" spans="2:7" x14ac:dyDescent="0.3">
      <c r="B598" s="4" t="s">
        <v>186</v>
      </c>
      <c r="C598" s="23">
        <v>0.6837785558676478</v>
      </c>
      <c r="D598" s="19">
        <v>6.2544274981967004E-4</v>
      </c>
      <c r="E598" s="19">
        <v>8.9119831924595466E-2</v>
      </c>
      <c r="F598" s="19">
        <v>4.1687783901395284E-2</v>
      </c>
      <c r="G598" s="19">
        <v>9.4243289691868001E-2</v>
      </c>
    </row>
    <row r="599" spans="2:7" x14ac:dyDescent="0.3">
      <c r="B599" s="4" t="s">
        <v>189</v>
      </c>
      <c r="C599" s="23">
        <v>0.75477816026785427</v>
      </c>
      <c r="D599" s="19">
        <v>6.7374797417121102E-2</v>
      </c>
      <c r="E599" s="19">
        <v>1.3183851150110828E-2</v>
      </c>
      <c r="F599" s="19">
        <v>1.6685386776001027E-2</v>
      </c>
      <c r="G599" s="19">
        <v>0.11639266450906828</v>
      </c>
    </row>
    <row r="600" spans="2:7" x14ac:dyDescent="0.3">
      <c r="B600" s="4" t="s">
        <v>192</v>
      </c>
      <c r="C600" s="23">
        <v>0.78509710851722747</v>
      </c>
      <c r="D600" s="19">
        <v>5.4161840331009006E-3</v>
      </c>
      <c r="E600" s="19">
        <v>8.2145016562591364E-3</v>
      </c>
      <c r="F600" s="19">
        <v>4.596554559550798E-2</v>
      </c>
      <c r="G600" s="19">
        <v>8.6028443983803327E-2</v>
      </c>
    </row>
    <row r="601" spans="2:7" x14ac:dyDescent="0.3">
      <c r="B601" s="4" t="s">
        <v>195</v>
      </c>
      <c r="C601" s="23">
        <v>0.51176428568363996</v>
      </c>
      <c r="D601" s="19">
        <v>0.29320626762310403</v>
      </c>
      <c r="E601" s="19">
        <v>9.9067902755697046E-3</v>
      </c>
      <c r="F601" s="19">
        <v>4.7513665678628131E-3</v>
      </c>
      <c r="G601" s="19">
        <v>6.0973195302251086E-2</v>
      </c>
    </row>
    <row r="602" spans="2:7" x14ac:dyDescent="0.3">
      <c r="B602" s="4" t="s">
        <v>198</v>
      </c>
      <c r="C602" s="23">
        <v>0.48366930309793121</v>
      </c>
      <c r="D602" s="19">
        <v>3.644451790471773E-3</v>
      </c>
      <c r="E602" s="19">
        <v>4.5060635676412268E-2</v>
      </c>
      <c r="F602" s="19">
        <v>3.0646585961450656E-2</v>
      </c>
      <c r="G602" s="19">
        <v>0.11320225327945095</v>
      </c>
    </row>
    <row r="603" spans="2:7" x14ac:dyDescent="0.3">
      <c r="B603" s="4" t="s">
        <v>201</v>
      </c>
      <c r="C603" s="23">
        <v>0.59027260267187553</v>
      </c>
      <c r="D603" s="19">
        <v>0.24561518010908315</v>
      </c>
      <c r="E603" s="19">
        <v>8.438696844957258E-2</v>
      </c>
      <c r="F603" s="19">
        <v>5.5701848182913903E-4</v>
      </c>
      <c r="G603" s="19">
        <v>5.0624340233955081E-2</v>
      </c>
    </row>
    <row r="604" spans="2:7" x14ac:dyDescent="0.3">
      <c r="B604" s="4" t="s">
        <v>204</v>
      </c>
      <c r="C604" s="23">
        <v>0.61013035956347672</v>
      </c>
      <c r="D604" s="19">
        <v>0.25623408177809737</v>
      </c>
      <c r="E604" s="19">
        <v>4.487283577478697E-2</v>
      </c>
      <c r="F604" s="19">
        <v>1.4472044377533412E-4</v>
      </c>
      <c r="G604" s="19">
        <v>5.8027153578838447E-2</v>
      </c>
    </row>
    <row r="605" spans="2:7" x14ac:dyDescent="0.3">
      <c r="B605" s="4" t="s">
        <v>207</v>
      </c>
      <c r="C605" s="19">
        <v>0.24125721020037061</v>
      </c>
      <c r="D605" s="19">
        <v>0.1441554990303536</v>
      </c>
      <c r="E605" s="19">
        <v>2.2373296530966828E-3</v>
      </c>
      <c r="F605" s="23">
        <v>0.49196600406444319</v>
      </c>
      <c r="G605" s="19">
        <v>0.10594653282401145</v>
      </c>
    </row>
    <row r="606" spans="2:7" x14ac:dyDescent="0.3">
      <c r="B606" s="4" t="s">
        <v>210</v>
      </c>
      <c r="C606" s="23">
        <v>0.7713438451787189</v>
      </c>
      <c r="D606" s="19">
        <v>3.7368577933615046E-2</v>
      </c>
      <c r="E606" s="19">
        <v>1.9916981927308345E-2</v>
      </c>
      <c r="F606" s="19">
        <v>1.2616626309291376E-7</v>
      </c>
      <c r="G606" s="19">
        <v>3.4163669066544576E-2</v>
      </c>
    </row>
    <row r="607" spans="2:7" x14ac:dyDescent="0.3">
      <c r="B607" s="4" t="s">
        <v>213</v>
      </c>
      <c r="C607" s="23">
        <v>0.79871482232154156</v>
      </c>
      <c r="D607" s="19">
        <v>9.6081408744018715E-2</v>
      </c>
      <c r="E607" s="19">
        <v>1.5347761113204878E-4</v>
      </c>
      <c r="F607" s="19">
        <v>4.9134936976070439E-3</v>
      </c>
      <c r="G607" s="19">
        <v>1.8042551446274639E-3</v>
      </c>
    </row>
    <row r="608" spans="2:7" x14ac:dyDescent="0.3">
      <c r="B608" s="4" t="s">
        <v>216</v>
      </c>
      <c r="C608" s="19">
        <v>1.3851857845007252E-3</v>
      </c>
      <c r="D608" s="19">
        <v>2.027900941069695E-5</v>
      </c>
      <c r="E608" s="23">
        <v>0.44766450842361211</v>
      </c>
      <c r="F608" s="19">
        <v>0.18984591737913278</v>
      </c>
      <c r="G608" s="19">
        <v>0.26518529330163754</v>
      </c>
    </row>
    <row r="609" spans="2:7" x14ac:dyDescent="0.3">
      <c r="B609" s="4" t="s">
        <v>219</v>
      </c>
      <c r="C609" s="19">
        <v>3.9761860785664793E-2</v>
      </c>
      <c r="D609" s="19">
        <v>3.1948025472777335E-4</v>
      </c>
      <c r="E609" s="23">
        <v>0.68489413101670682</v>
      </c>
      <c r="F609" s="19">
        <v>4.6623914631864063E-2</v>
      </c>
      <c r="G609" s="19">
        <v>9.7593610336323272E-2</v>
      </c>
    </row>
    <row r="610" spans="2:7" x14ac:dyDescent="0.3">
      <c r="B610" s="4" t="s">
        <v>222</v>
      </c>
      <c r="C610" s="23">
        <v>0.56619654981187395</v>
      </c>
      <c r="D610" s="19">
        <v>0.12640042171115257</v>
      </c>
      <c r="E610" s="19">
        <v>7.2600997860378366E-2</v>
      </c>
      <c r="F610" s="19">
        <v>6.5085179910430715E-3</v>
      </c>
      <c r="G610" s="19">
        <v>6.9906564694128745E-2</v>
      </c>
    </row>
    <row r="611" spans="2:7" x14ac:dyDescent="0.3">
      <c r="B611" s="4" t="s">
        <v>225</v>
      </c>
      <c r="C611" s="23">
        <v>0.66919534885583953</v>
      </c>
      <c r="D611" s="19">
        <v>8.5305802207802719E-3</v>
      </c>
      <c r="E611" s="19">
        <v>0.21753131005646936</v>
      </c>
      <c r="F611" s="19">
        <v>2.4015855540549108E-3</v>
      </c>
      <c r="G611" s="19">
        <v>8.1596407302987764E-6</v>
      </c>
    </row>
    <row r="612" spans="2:7" x14ac:dyDescent="0.3">
      <c r="B612" s="4" t="s">
        <v>228</v>
      </c>
      <c r="C612" s="23">
        <v>0.4791765181599783</v>
      </c>
      <c r="D612" s="19">
        <v>3.0190414623474243E-3</v>
      </c>
      <c r="E612" s="19">
        <v>0.38722332962809758</v>
      </c>
      <c r="F612" s="19">
        <v>1.7642701614417736E-2</v>
      </c>
      <c r="G612" s="19">
        <v>6.2777664695603044E-3</v>
      </c>
    </row>
    <row r="613" spans="2:7" x14ac:dyDescent="0.3">
      <c r="B613" s="4" t="s">
        <v>231</v>
      </c>
      <c r="C613" s="23">
        <v>0.43154038536602507</v>
      </c>
      <c r="D613" s="19">
        <v>2.0334902295032718E-4</v>
      </c>
      <c r="E613" s="19">
        <v>0.12338939302082998</v>
      </c>
      <c r="F613" s="19">
        <v>2.5709939957629692E-2</v>
      </c>
      <c r="G613" s="19">
        <v>0.20547840807282933</v>
      </c>
    </row>
    <row r="614" spans="2:7" x14ac:dyDescent="0.3">
      <c r="B614" s="4" t="s">
        <v>234</v>
      </c>
      <c r="C614" s="23">
        <v>0.44163967505761442</v>
      </c>
      <c r="D614" s="19">
        <v>8.6280003504862979E-2</v>
      </c>
      <c r="E614" s="19">
        <v>3.2898288889245543E-5</v>
      </c>
      <c r="F614" s="19">
        <v>5.3557410523127902E-2</v>
      </c>
      <c r="G614" s="19">
        <v>0.18818811151996148</v>
      </c>
    </row>
    <row r="615" spans="2:7" x14ac:dyDescent="0.3">
      <c r="B615" s="4" t="s">
        <v>237</v>
      </c>
      <c r="C615" s="23">
        <v>0.61210356906117203</v>
      </c>
      <c r="D615" s="19">
        <v>0.2366264257057519</v>
      </c>
      <c r="E615" s="19">
        <v>5.1993476523286349E-2</v>
      </c>
      <c r="F615" s="19">
        <v>6.5059263255280563E-3</v>
      </c>
      <c r="G615" s="19">
        <v>2.9010190212045386E-2</v>
      </c>
    </row>
    <row r="616" spans="2:7" x14ac:dyDescent="0.3">
      <c r="B616" s="4" t="s">
        <v>240</v>
      </c>
      <c r="C616" s="23">
        <v>0.54736194310932906</v>
      </c>
      <c r="D616" s="19">
        <v>0.26900110792537674</v>
      </c>
      <c r="E616" s="19">
        <v>6.5573286747422674E-2</v>
      </c>
      <c r="F616" s="19">
        <v>4.5469250751541232E-4</v>
      </c>
      <c r="G616" s="19">
        <v>8.5551485834226754E-2</v>
      </c>
    </row>
    <row r="617" spans="2:7" x14ac:dyDescent="0.3">
      <c r="B617" s="4" t="s">
        <v>243</v>
      </c>
      <c r="C617" s="23">
        <v>0.59479344422474179</v>
      </c>
      <c r="D617" s="19">
        <v>0.24497111113820283</v>
      </c>
      <c r="E617" s="19">
        <v>5.0066535706081584E-2</v>
      </c>
      <c r="F617" s="19">
        <v>9.3252435305166859E-7</v>
      </c>
      <c r="G617" s="19">
        <v>3.9528079148079945E-2</v>
      </c>
    </row>
    <row r="618" spans="2:7" x14ac:dyDescent="0.3">
      <c r="B618" s="4" t="s">
        <v>246</v>
      </c>
      <c r="C618" s="23">
        <v>0.54879322436275901</v>
      </c>
      <c r="D618" s="19">
        <v>0.2606784635179798</v>
      </c>
      <c r="E618" s="19">
        <v>8.584668076810878E-2</v>
      </c>
      <c r="F618" s="19">
        <v>1.690380185909296E-3</v>
      </c>
      <c r="G618" s="19">
        <v>7.8793167843971848E-2</v>
      </c>
    </row>
    <row r="619" spans="2:7" x14ac:dyDescent="0.3">
      <c r="B619" s="4" t="s">
        <v>249</v>
      </c>
      <c r="C619" s="23">
        <v>0.48129502541477726</v>
      </c>
      <c r="D619" s="19">
        <v>0.35200802184454016</v>
      </c>
      <c r="E619" s="19">
        <v>5.993732859074799E-2</v>
      </c>
      <c r="F619" s="19">
        <v>2.2693211170936802E-4</v>
      </c>
      <c r="G619" s="19">
        <v>7.7735951537730122E-2</v>
      </c>
    </row>
    <row r="620" spans="2:7" x14ac:dyDescent="0.3">
      <c r="B620" s="4" t="s">
        <v>252</v>
      </c>
      <c r="C620" s="23">
        <v>0.59455678600867456</v>
      </c>
      <c r="D620" s="19">
        <v>0.22166258817849568</v>
      </c>
      <c r="E620" s="19">
        <v>7.9204852652620991E-2</v>
      </c>
      <c r="F620" s="19">
        <v>2.6337137274346666E-4</v>
      </c>
      <c r="G620" s="19">
        <v>3.798330282755219E-2</v>
      </c>
    </row>
    <row r="621" spans="2:7" x14ac:dyDescent="0.3">
      <c r="B621" s="4" t="s">
        <v>255</v>
      </c>
      <c r="C621" s="23">
        <v>0.53989443128383563</v>
      </c>
      <c r="D621" s="19">
        <v>0.27012340657753087</v>
      </c>
      <c r="E621" s="19">
        <v>8.8311116334795756E-2</v>
      </c>
      <c r="F621" s="19">
        <v>1.9304453347198634E-3</v>
      </c>
      <c r="G621" s="19">
        <v>7.5299508951525596E-2</v>
      </c>
    </row>
    <row r="622" spans="2:7" x14ac:dyDescent="0.3">
      <c r="B622" s="4" t="s">
        <v>258</v>
      </c>
      <c r="C622" s="23">
        <v>0.48778201823003775</v>
      </c>
      <c r="D622" s="19">
        <v>0.3003326609538346</v>
      </c>
      <c r="E622" s="19">
        <v>9.0308071645788149E-2</v>
      </c>
      <c r="F622" s="19">
        <v>1.5856711688070645E-3</v>
      </c>
      <c r="G622" s="19">
        <v>9.2635449536769901E-2</v>
      </c>
    </row>
    <row r="623" spans="2:7" x14ac:dyDescent="0.3">
      <c r="B623" s="4" t="s">
        <v>261</v>
      </c>
      <c r="C623" s="23">
        <v>0.55495739126706711</v>
      </c>
      <c r="D623" s="19">
        <v>0.25572381963695279</v>
      </c>
      <c r="E623" s="19">
        <v>7.5672561898512861E-2</v>
      </c>
      <c r="F623" s="19">
        <v>1.5095979328478486E-3</v>
      </c>
      <c r="G623" s="19">
        <v>4.0581571390735906E-2</v>
      </c>
    </row>
    <row r="624" spans="2:7" x14ac:dyDescent="0.3">
      <c r="B624" s="4" t="s">
        <v>264</v>
      </c>
      <c r="C624" s="23">
        <v>0.51914741738937153</v>
      </c>
      <c r="D624" s="19">
        <v>0.3125116641231272</v>
      </c>
      <c r="E624" s="19">
        <v>6.1141440272337512E-2</v>
      </c>
      <c r="F624" s="19">
        <v>3.2464053334941239E-4</v>
      </c>
      <c r="G624" s="19">
        <v>7.8265697749252738E-2</v>
      </c>
    </row>
    <row r="625" spans="2:7" x14ac:dyDescent="0.3">
      <c r="B625" s="4" t="s">
        <v>267</v>
      </c>
      <c r="C625" s="23">
        <v>0.4844297577292796</v>
      </c>
      <c r="D625" s="19">
        <v>0.30607289860287001</v>
      </c>
      <c r="E625" s="19">
        <v>9.4758361918271805E-2</v>
      </c>
      <c r="F625" s="19">
        <v>1.7524793762351211E-3</v>
      </c>
      <c r="G625" s="19">
        <v>8.477280904588233E-2</v>
      </c>
    </row>
    <row r="626" spans="2:7" x14ac:dyDescent="0.3">
      <c r="B626" s="4" t="s">
        <v>270</v>
      </c>
      <c r="C626" s="23">
        <v>0.58316135470564578</v>
      </c>
      <c r="D626" s="19">
        <v>0.28257012601324943</v>
      </c>
      <c r="E626" s="19">
        <v>5.6030827598349486E-2</v>
      </c>
      <c r="F626" s="19">
        <v>1.9431996992333751E-4</v>
      </c>
      <c r="G626" s="19">
        <v>5.7401243000780533E-2</v>
      </c>
    </row>
    <row r="627" spans="2:7" x14ac:dyDescent="0.3">
      <c r="B627" s="4" t="s">
        <v>273</v>
      </c>
      <c r="C627" s="23">
        <v>0.67200955218356762</v>
      </c>
      <c r="D627" s="19">
        <v>0.20565666667065705</v>
      </c>
      <c r="E627" s="19">
        <v>4.7461389395968272E-2</v>
      </c>
      <c r="F627" s="19">
        <v>2.5975906543497941E-4</v>
      </c>
      <c r="G627" s="19">
        <v>5.3168503101748761E-2</v>
      </c>
    </row>
    <row r="628" spans="2:7" x14ac:dyDescent="0.3">
      <c r="B628" s="4" t="s">
        <v>276</v>
      </c>
      <c r="C628" s="23">
        <v>0.73462939579513231</v>
      </c>
      <c r="D628" s="19">
        <v>2.3423683812720274E-2</v>
      </c>
      <c r="E628" s="19">
        <v>0.11374937724984856</v>
      </c>
      <c r="F628" s="19">
        <v>7.2225712027750915E-3</v>
      </c>
      <c r="G628" s="19">
        <v>5.0239753047311195E-2</v>
      </c>
    </row>
    <row r="629" spans="2:7" x14ac:dyDescent="0.3">
      <c r="B629" s="4" t="s">
        <v>279</v>
      </c>
      <c r="C629" s="23">
        <v>0.81484404363760043</v>
      </c>
      <c r="D629" s="19">
        <v>9.0861438342353829E-2</v>
      </c>
      <c r="E629" s="19">
        <v>2.2465700727905845E-2</v>
      </c>
      <c r="F629" s="19">
        <v>1.8664723103788097E-2</v>
      </c>
      <c r="G629" s="19">
        <v>3.5525188167412673E-2</v>
      </c>
    </row>
    <row r="630" spans="2:7" x14ac:dyDescent="0.3">
      <c r="B630" s="4" t="s">
        <v>282</v>
      </c>
      <c r="C630" s="23">
        <v>0.8133352360000663</v>
      </c>
      <c r="D630" s="19">
        <v>2.161312631069905E-2</v>
      </c>
      <c r="E630" s="19">
        <v>3.4820506622413774E-2</v>
      </c>
      <c r="F630" s="19">
        <v>3.2455101808795258E-3</v>
      </c>
      <c r="G630" s="19">
        <v>5.7248254856550856E-2</v>
      </c>
    </row>
    <row r="631" spans="2:7" x14ac:dyDescent="0.3">
      <c r="B631" s="4" t="s">
        <v>285</v>
      </c>
      <c r="C631" s="23">
        <v>0.66633434778315748</v>
      </c>
      <c r="D631" s="19">
        <v>4.8846388355198084E-2</v>
      </c>
      <c r="E631" s="19">
        <v>6.7472426830024197E-4</v>
      </c>
      <c r="F631" s="19">
        <v>3.4383973921978568E-2</v>
      </c>
      <c r="G631" s="19">
        <v>7.0312695398655034E-2</v>
      </c>
    </row>
    <row r="632" spans="2:7" x14ac:dyDescent="0.3">
      <c r="B632" s="4" t="s">
        <v>288</v>
      </c>
      <c r="C632" s="23">
        <v>0.82820997263277851</v>
      </c>
      <c r="D632" s="19">
        <v>8.9756732279294232E-2</v>
      </c>
      <c r="E632" s="19">
        <v>3.7206483788422215E-2</v>
      </c>
      <c r="F632" s="19">
        <v>5.2348902205067282E-3</v>
      </c>
      <c r="G632" s="19">
        <v>1.9687442808941292E-2</v>
      </c>
    </row>
    <row r="633" spans="2:7" x14ac:dyDescent="0.3">
      <c r="B633" s="4" t="s">
        <v>291</v>
      </c>
      <c r="C633" s="19">
        <v>2.8295954814665403E-2</v>
      </c>
      <c r="D633" s="19">
        <v>0.15379677614962461</v>
      </c>
      <c r="E633" s="23">
        <v>0.28277827310432779</v>
      </c>
      <c r="F633" s="19">
        <v>0.14546674022116859</v>
      </c>
      <c r="G633" s="19">
        <v>3.858574369954839E-2</v>
      </c>
    </row>
    <row r="634" spans="2:7" x14ac:dyDescent="0.3">
      <c r="B634" s="4" t="s">
        <v>294</v>
      </c>
      <c r="C634" s="19">
        <v>0.28964372153997442</v>
      </c>
      <c r="D634" s="23">
        <v>0.38102802938773478</v>
      </c>
      <c r="E634" s="19">
        <v>1.6179738392967211E-3</v>
      </c>
      <c r="F634" s="19">
        <v>1.1797455963671356E-2</v>
      </c>
      <c r="G634" s="19">
        <v>0.11666782775986673</v>
      </c>
    </row>
    <row r="635" spans="2:7" x14ac:dyDescent="0.3">
      <c r="B635" s="4" t="s">
        <v>297</v>
      </c>
      <c r="C635" s="19">
        <v>0.19477718306357505</v>
      </c>
      <c r="D635" s="23">
        <v>0.40481700134009507</v>
      </c>
      <c r="E635" s="19">
        <v>3.321506866324641E-2</v>
      </c>
      <c r="F635" s="19">
        <v>3.1898572660079033E-2</v>
      </c>
      <c r="G635" s="19">
        <v>3.7676774445288198E-2</v>
      </c>
    </row>
    <row r="636" spans="2:7" x14ac:dyDescent="0.3">
      <c r="B636" s="4" t="s">
        <v>300</v>
      </c>
      <c r="C636" s="19">
        <v>0.14031236734720903</v>
      </c>
      <c r="D636" s="23">
        <v>0.1690728162530552</v>
      </c>
      <c r="E636" s="19">
        <v>1.5343403382188295E-2</v>
      </c>
      <c r="F636" s="19">
        <v>2.5640250674551869E-2</v>
      </c>
      <c r="G636" s="19">
        <v>0.16666842600302784</v>
      </c>
    </row>
    <row r="637" spans="2:7" x14ac:dyDescent="0.3">
      <c r="B637" s="4" t="s">
        <v>303</v>
      </c>
      <c r="C637" s="19">
        <v>0.17189211272366459</v>
      </c>
      <c r="D637" s="19">
        <v>0.18111450018284825</v>
      </c>
      <c r="E637" s="19">
        <v>9.9634114584745033E-3</v>
      </c>
      <c r="F637" s="19">
        <v>1.4262740693825391E-2</v>
      </c>
      <c r="G637" s="23">
        <v>0.19129337050610823</v>
      </c>
    </row>
    <row r="638" spans="2:7" x14ac:dyDescent="0.3">
      <c r="B638" s="4" t="s">
        <v>306</v>
      </c>
      <c r="C638" s="19">
        <v>0.21457412401093245</v>
      </c>
      <c r="D638" s="23">
        <v>0.25719022552225862</v>
      </c>
      <c r="E638" s="19">
        <v>2.2818765430334211E-2</v>
      </c>
      <c r="F638" s="19">
        <v>3.9631065292437449E-2</v>
      </c>
      <c r="G638" s="19">
        <v>0.17796229336923119</v>
      </c>
    </row>
    <row r="639" spans="2:7" x14ac:dyDescent="0.3">
      <c r="B639" s="4" t="s">
        <v>309</v>
      </c>
      <c r="C639" s="19">
        <v>7.0492774719835158E-2</v>
      </c>
      <c r="D639" s="19">
        <v>0.12987317641542725</v>
      </c>
      <c r="E639" s="19">
        <v>5.1105899811227549E-5</v>
      </c>
      <c r="F639" s="19">
        <v>3.043073650457914E-3</v>
      </c>
      <c r="G639" s="23">
        <v>0.15286878917757635</v>
      </c>
    </row>
    <row r="640" spans="2:7" x14ac:dyDescent="0.3">
      <c r="B640" s="4" t="s">
        <v>312</v>
      </c>
      <c r="C640" s="23">
        <v>0.55918412057326916</v>
      </c>
      <c r="D640" s="19">
        <v>0.32865079989828322</v>
      </c>
      <c r="E640" s="19">
        <v>8.8255308024955507E-3</v>
      </c>
      <c r="F640" s="19">
        <v>2.1100059388639899E-2</v>
      </c>
      <c r="G640" s="19">
        <v>1.0147890238945372E-2</v>
      </c>
    </row>
    <row r="641" spans="2:7" x14ac:dyDescent="0.3">
      <c r="B641" s="4" t="s">
        <v>315</v>
      </c>
      <c r="C641" s="23">
        <v>0.33364782924430231</v>
      </c>
      <c r="D641" s="19">
        <v>0.25502057988492588</v>
      </c>
      <c r="E641" s="19">
        <v>6.0317377229523704E-3</v>
      </c>
      <c r="F641" s="19">
        <v>1.1034847034827359E-3</v>
      </c>
      <c r="G641" s="19">
        <v>6.7411058038182148E-2</v>
      </c>
    </row>
    <row r="642" spans="2:7" x14ac:dyDescent="0.3">
      <c r="B642" s="4" t="s">
        <v>318</v>
      </c>
      <c r="C642" s="23">
        <v>0.379819033309444</v>
      </c>
      <c r="D642" s="19">
        <v>0.32280580770159478</v>
      </c>
      <c r="E642" s="19">
        <v>1.0318984347020757E-2</v>
      </c>
      <c r="F642" s="19">
        <v>3.6835111566561325E-3</v>
      </c>
      <c r="G642" s="19">
        <v>4.0619262325720759E-2</v>
      </c>
    </row>
    <row r="643" spans="2:7" x14ac:dyDescent="0.3">
      <c r="B643" s="4" t="s">
        <v>321</v>
      </c>
      <c r="C643" s="19">
        <v>0.1029628929777721</v>
      </c>
      <c r="D643" s="23">
        <v>0.40057841563361979</v>
      </c>
      <c r="E643" s="19">
        <v>4.5537920088263815E-3</v>
      </c>
      <c r="F643" s="19">
        <v>5.7839608663581019E-3</v>
      </c>
      <c r="G643" s="19">
        <v>0.11205960198272133</v>
      </c>
    </row>
    <row r="644" spans="2:7" ht="15" thickBot="1" x14ac:dyDescent="0.35">
      <c r="B644" s="17" t="s">
        <v>324</v>
      </c>
      <c r="C644" s="20">
        <v>0.23545340035485166</v>
      </c>
      <c r="D644" s="25">
        <v>0.35747166813618686</v>
      </c>
      <c r="E644" s="20">
        <v>6.0599269140818819E-2</v>
      </c>
      <c r="F644" s="20">
        <v>6.1507952403407444E-2</v>
      </c>
      <c r="G644" s="20">
        <v>0.13109003900438451</v>
      </c>
    </row>
    <row r="645" spans="2:7" x14ac:dyDescent="0.3">
      <c r="B645" s="27" t="s">
        <v>384</v>
      </c>
    </row>
  </sheetData>
  <mergeCells count="1">
    <mergeCell ref="B1:L2"/>
  </mergeCells>
  <pageMargins left="0.7" right="0.7" top="0.75" bottom="0.75" header="0.3" footer="0.3"/>
  <pageSetup paperSize="9" orientation="portrait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D853750">
              <controlPr defaultSize="0" autoFill="0" autoPict="0" macro="[0]!GoToResultsNew2803202405443965">
                <anchor moveWithCells="1">
                  <from>
                    <xdr:col>1</xdr:col>
                    <xdr:colOff>0</xdr:colOff>
                    <xdr:row>9</xdr:row>
                    <xdr:rowOff>472440</xdr:rowOff>
                  </from>
                  <to>
                    <xdr:col>5</xdr:col>
                    <xdr:colOff>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02D8-CD54-432B-B53F-38BFB1B2578C}">
  <sheetPr codeName="XLSTAT_20240328_054226_1_HID3"/>
  <dimension ref="A1:D99"/>
  <sheetViews>
    <sheetView workbookViewId="0">
      <selection activeCell="C1" sqref="C1"/>
    </sheetView>
  </sheetViews>
  <sheetFormatPr defaultRowHeight="14.4" x14ac:dyDescent="0.3"/>
  <sheetData>
    <row r="1" spans="1:4" x14ac:dyDescent="0.3">
      <c r="A1">
        <v>4.0424277629776411</v>
      </c>
      <c r="B1">
        <v>11.304022354605497</v>
      </c>
      <c r="C1">
        <v>-2.7700104667885692</v>
      </c>
      <c r="D1">
        <v>5.1631674639664995</v>
      </c>
    </row>
    <row r="2" spans="1:4" x14ac:dyDescent="0.3">
      <c r="A2">
        <v>8.2804797023745174</v>
      </c>
      <c r="B2">
        <v>4.6681985330133582</v>
      </c>
      <c r="C2">
        <v>-2.6693152229172581</v>
      </c>
      <c r="D2">
        <v>5.2121028939294183</v>
      </c>
    </row>
    <row r="3" spans="1:4" x14ac:dyDescent="0.3">
      <c r="A3">
        <v>0.40564311473884962</v>
      </c>
      <c r="B3">
        <v>13.181038027634257</v>
      </c>
      <c r="C3">
        <v>-2.9035495123890689</v>
      </c>
      <c r="D3">
        <v>6.6204529506929841</v>
      </c>
    </row>
    <row r="4" spans="1:4" x14ac:dyDescent="0.3">
      <c r="A4">
        <v>4.6147574774866902</v>
      </c>
      <c r="B4">
        <v>-6.0001076852135489</v>
      </c>
      <c r="C4">
        <v>1.7344225528675339</v>
      </c>
      <c r="D4">
        <v>1.0655772934224628</v>
      </c>
    </row>
    <row r="5" spans="1:4" x14ac:dyDescent="0.3">
      <c r="A5">
        <v>3.4004130382262048</v>
      </c>
      <c r="B5">
        <v>-5.3625331817229087</v>
      </c>
      <c r="C5">
        <v>1.2435051828369124</v>
      </c>
      <c r="D5">
        <v>2.0481183279592559</v>
      </c>
    </row>
    <row r="6" spans="1:4" x14ac:dyDescent="0.3">
      <c r="A6">
        <v>-1.4023424683928822</v>
      </c>
      <c r="B6">
        <v>-3.869716193770925</v>
      </c>
      <c r="C6">
        <v>1.9941909850412014</v>
      </c>
      <c r="D6">
        <v>0.88145056911490349</v>
      </c>
    </row>
    <row r="7" spans="1:4" x14ac:dyDescent="0.3">
      <c r="A7">
        <v>2.3330751094261668</v>
      </c>
      <c r="B7">
        <v>10.983906524128967</v>
      </c>
      <c r="C7">
        <v>1.9509882963164666</v>
      </c>
      <c r="D7">
        <v>0.90665248750559102</v>
      </c>
    </row>
    <row r="8" spans="1:4" x14ac:dyDescent="0.3">
      <c r="A8">
        <v>8.0205235334520459</v>
      </c>
      <c r="B8">
        <v>-4.0757282938571029</v>
      </c>
      <c r="C8">
        <v>1.3737116003663408</v>
      </c>
      <c r="D8">
        <v>1.9858608101360089</v>
      </c>
    </row>
    <row r="9" spans="1:4" x14ac:dyDescent="0.3">
      <c r="A9">
        <v>8.77975503747445</v>
      </c>
      <c r="B9">
        <v>5.3371991089989825E-3</v>
      </c>
      <c r="C9">
        <v>1.7856672549536377</v>
      </c>
      <c r="D9">
        <v>2.5250301818908567</v>
      </c>
    </row>
    <row r="10" spans="1:4" x14ac:dyDescent="0.3">
      <c r="A10">
        <v>4.7295141533210572</v>
      </c>
      <c r="B10">
        <v>-6.6257385644114306</v>
      </c>
      <c r="C10">
        <v>1.0609851364915721</v>
      </c>
      <c r="D10">
        <v>1.5386720705350103</v>
      </c>
    </row>
    <row r="11" spans="1:4" x14ac:dyDescent="0.3">
      <c r="A11">
        <v>-1.8733127184478173</v>
      </c>
      <c r="B11">
        <v>8.5984616257777589</v>
      </c>
      <c r="C11">
        <v>1.5298188280466478</v>
      </c>
      <c r="D11">
        <v>2.3354616851339189</v>
      </c>
    </row>
    <row r="12" spans="1:4" x14ac:dyDescent="0.3">
      <c r="A12">
        <v>6.5385793093642572</v>
      </c>
      <c r="B12">
        <v>0.28863366840348703</v>
      </c>
      <c r="C12">
        <v>-1.7807359408741863</v>
      </c>
      <c r="D12">
        <v>-0.9793772105055556</v>
      </c>
    </row>
    <row r="13" spans="1:4" x14ac:dyDescent="0.3">
      <c r="A13">
        <v>4.8401185389216508</v>
      </c>
      <c r="B13">
        <v>-5.3916001445134771</v>
      </c>
      <c r="C13">
        <v>-1.6946330745298233</v>
      </c>
      <c r="D13">
        <v>-1.491865303856454</v>
      </c>
    </row>
    <row r="14" spans="1:4" x14ac:dyDescent="0.3">
      <c r="A14">
        <v>8.6836455497814065</v>
      </c>
      <c r="B14">
        <v>-2.8599852219171407</v>
      </c>
      <c r="C14">
        <v>-1.7342345383180762</v>
      </c>
      <c r="D14">
        <v>-1.2453165293960811</v>
      </c>
    </row>
    <row r="15" spans="1:4" x14ac:dyDescent="0.3">
      <c r="A15">
        <v>7.5947245601956705</v>
      </c>
      <c r="B15">
        <v>-6.5253423598872837</v>
      </c>
      <c r="C15">
        <v>-1.5659010878296575</v>
      </c>
      <c r="D15">
        <v>-0.99442547201084508</v>
      </c>
    </row>
    <row r="16" spans="1:4" x14ac:dyDescent="0.3">
      <c r="A16">
        <v>8.1279567692279198</v>
      </c>
      <c r="B16">
        <v>4.2265622174249131</v>
      </c>
      <c r="C16">
        <v>-1.734358629325321</v>
      </c>
      <c r="D16">
        <v>-1.185635388695752</v>
      </c>
    </row>
    <row r="17" spans="1:4" x14ac:dyDescent="0.3">
      <c r="A17">
        <v>3.4547204351077641</v>
      </c>
      <c r="B17">
        <v>-5.203211617866077</v>
      </c>
      <c r="C17">
        <v>-1.7657616908505989</v>
      </c>
      <c r="D17">
        <v>1.2914425077294598</v>
      </c>
    </row>
    <row r="18" spans="1:4" x14ac:dyDescent="0.3">
      <c r="A18">
        <v>4.4023672297728806</v>
      </c>
      <c r="B18">
        <v>5.0921614789822218</v>
      </c>
      <c r="C18">
        <v>1.8729999208483048</v>
      </c>
      <c r="D18">
        <v>1.9218402591999537</v>
      </c>
    </row>
    <row r="19" spans="1:4" x14ac:dyDescent="0.3">
      <c r="A19">
        <v>8.855428159910355</v>
      </c>
      <c r="B19">
        <v>-3.695157868263609</v>
      </c>
      <c r="C19">
        <v>3.1990037565171523</v>
      </c>
      <c r="D19">
        <v>-0.25146525038021139</v>
      </c>
    </row>
    <row r="20" spans="1:4" x14ac:dyDescent="0.3">
      <c r="A20">
        <v>4.9752689474143436E-2</v>
      </c>
      <c r="B20">
        <v>-0.38458850153537455</v>
      </c>
      <c r="C20">
        <v>0.87280074351675407</v>
      </c>
      <c r="D20">
        <v>1.9822948932692452</v>
      </c>
    </row>
    <row r="21" spans="1:4" x14ac:dyDescent="0.3">
      <c r="A21">
        <v>8.5437284604588974</v>
      </c>
      <c r="B21">
        <v>3.2015084271958352</v>
      </c>
      <c r="C21">
        <v>4.4391324470032814</v>
      </c>
      <c r="D21">
        <v>-0.82222849977663881</v>
      </c>
    </row>
    <row r="22" spans="1:4" x14ac:dyDescent="0.3">
      <c r="A22">
        <v>7.9435281089131466</v>
      </c>
      <c r="B22">
        <v>4.1609867713480941</v>
      </c>
      <c r="C22">
        <v>1.7370561389722357</v>
      </c>
      <c r="D22">
        <v>1.6079030601955102</v>
      </c>
    </row>
    <row r="23" spans="1:4" x14ac:dyDescent="0.3">
      <c r="A23">
        <v>8.2025948338189973</v>
      </c>
      <c r="B23">
        <v>4.5598532499255926</v>
      </c>
      <c r="C23">
        <v>2.1856132172238789</v>
      </c>
      <c r="D23">
        <v>2.2494045071718989</v>
      </c>
    </row>
    <row r="24" spans="1:4" x14ac:dyDescent="0.3">
      <c r="C24">
        <v>1.4955331233917648</v>
      </c>
      <c r="D24">
        <v>1.3766225668340186</v>
      </c>
    </row>
    <row r="25" spans="1:4" x14ac:dyDescent="0.3">
      <c r="C25">
        <v>1.4788644700082378</v>
      </c>
      <c r="D25">
        <v>2.1187926480743577</v>
      </c>
    </row>
    <row r="26" spans="1:4" x14ac:dyDescent="0.3">
      <c r="C26">
        <v>0.96243773729951776</v>
      </c>
      <c r="D26">
        <v>1.4224695930286981</v>
      </c>
    </row>
    <row r="27" spans="1:4" x14ac:dyDescent="0.3">
      <c r="C27">
        <v>0.39410999401084557</v>
      </c>
      <c r="D27">
        <v>1.3502756144093269</v>
      </c>
    </row>
    <row r="28" spans="1:4" x14ac:dyDescent="0.3">
      <c r="C28">
        <v>0.75910221262003541</v>
      </c>
      <c r="D28">
        <v>0.88598237228904408</v>
      </c>
    </row>
    <row r="29" spans="1:4" x14ac:dyDescent="0.3">
      <c r="C29">
        <v>2.476185508459515</v>
      </c>
      <c r="D29">
        <v>1.5623038367863737</v>
      </c>
    </row>
    <row r="30" spans="1:4" x14ac:dyDescent="0.3">
      <c r="C30">
        <v>1.2543099515600431</v>
      </c>
      <c r="D30">
        <v>2.1040513052868053</v>
      </c>
    </row>
    <row r="31" spans="1:4" x14ac:dyDescent="0.3">
      <c r="C31">
        <v>-1.7150662137549832</v>
      </c>
      <c r="D31">
        <v>0.43420761487781934</v>
      </c>
    </row>
    <row r="32" spans="1:4" x14ac:dyDescent="0.3">
      <c r="C32">
        <v>2.9130453844624338</v>
      </c>
      <c r="D32">
        <v>2.6518994245559968</v>
      </c>
    </row>
    <row r="33" spans="3:4" x14ac:dyDescent="0.3">
      <c r="C33">
        <v>3.0147542680708397</v>
      </c>
      <c r="D33">
        <v>2.4196732994260928</v>
      </c>
    </row>
    <row r="34" spans="3:4" x14ac:dyDescent="0.3">
      <c r="C34">
        <v>1.0034163067494519</v>
      </c>
      <c r="D34">
        <v>2.0720098993317082</v>
      </c>
    </row>
    <row r="35" spans="3:4" x14ac:dyDescent="0.3">
      <c r="C35">
        <v>1.5409494784099538</v>
      </c>
      <c r="D35">
        <v>1.9467350203041198</v>
      </c>
    </row>
    <row r="36" spans="3:4" x14ac:dyDescent="0.3">
      <c r="C36">
        <v>-1.1193755027885457</v>
      </c>
      <c r="D36">
        <v>0.1516997540541371</v>
      </c>
    </row>
    <row r="37" spans="3:4" x14ac:dyDescent="0.3">
      <c r="C37">
        <v>-0.87743306801363319</v>
      </c>
      <c r="D37">
        <v>-4.4321423262626516E-2</v>
      </c>
    </row>
    <row r="38" spans="3:4" x14ac:dyDescent="0.3">
      <c r="C38">
        <v>2.3927991450639832</v>
      </c>
      <c r="D38">
        <v>1.9924197442036244</v>
      </c>
    </row>
    <row r="39" spans="3:4" x14ac:dyDescent="0.3">
      <c r="C39">
        <v>2.0922384811666066</v>
      </c>
      <c r="D39">
        <v>1.4615833679551953</v>
      </c>
    </row>
    <row r="40" spans="3:4" x14ac:dyDescent="0.3">
      <c r="C40">
        <v>2.6829535524811057</v>
      </c>
      <c r="D40">
        <v>1.8423734306664454</v>
      </c>
    </row>
    <row r="41" spans="3:4" x14ac:dyDescent="0.3">
      <c r="C41">
        <v>1.666954766775407</v>
      </c>
      <c r="D41">
        <v>1.5495380927565499</v>
      </c>
    </row>
    <row r="42" spans="3:4" x14ac:dyDescent="0.3">
      <c r="C42">
        <v>1.7173372361938557</v>
      </c>
      <c r="D42">
        <v>2.7461826637884457</v>
      </c>
    </row>
    <row r="43" spans="3:4" x14ac:dyDescent="0.3">
      <c r="C43">
        <v>1.4057315719125594</v>
      </c>
      <c r="D43">
        <v>1.6734982378685381</v>
      </c>
    </row>
    <row r="44" spans="3:4" x14ac:dyDescent="0.3">
      <c r="C44">
        <v>1.6575182368052235</v>
      </c>
      <c r="D44">
        <v>2.1767550935826021</v>
      </c>
    </row>
    <row r="45" spans="3:4" x14ac:dyDescent="0.3">
      <c r="C45">
        <v>1.4599321851782432</v>
      </c>
      <c r="D45">
        <v>0.9221235897401483</v>
      </c>
    </row>
    <row r="46" spans="3:4" x14ac:dyDescent="0.3">
      <c r="C46">
        <v>1.1212470077135848</v>
      </c>
      <c r="D46">
        <v>1.3548390407530491</v>
      </c>
    </row>
    <row r="47" spans="3:4" x14ac:dyDescent="0.3">
      <c r="C47">
        <v>1.7918784720490051</v>
      </c>
      <c r="D47">
        <v>1.7698862356276062</v>
      </c>
    </row>
    <row r="48" spans="3:4" x14ac:dyDescent="0.3">
      <c r="C48">
        <v>1.2219170028170436</v>
      </c>
      <c r="D48">
        <v>0.78966007736569455</v>
      </c>
    </row>
    <row r="49" spans="3:4" x14ac:dyDescent="0.3">
      <c r="C49">
        <v>-2.3397705920288696</v>
      </c>
      <c r="D49">
        <v>-0.81591374113328152</v>
      </c>
    </row>
    <row r="50" spans="3:4" x14ac:dyDescent="0.3">
      <c r="C50">
        <v>-2.5304567012201313</v>
      </c>
      <c r="D50">
        <v>-0.15619700462512237</v>
      </c>
    </row>
    <row r="51" spans="3:4" x14ac:dyDescent="0.3">
      <c r="C51">
        <v>-2.6048471641057938</v>
      </c>
      <c r="D51">
        <v>0.84971362903066927</v>
      </c>
    </row>
    <row r="52" spans="3:4" x14ac:dyDescent="0.3">
      <c r="C52">
        <v>-2.5617776559124308</v>
      </c>
      <c r="D52">
        <v>1.55627625132429</v>
      </c>
    </row>
    <row r="53" spans="3:4" x14ac:dyDescent="0.3">
      <c r="C53">
        <v>-2.3049662356980631</v>
      </c>
      <c r="D53">
        <v>6.9710887353716416E-2</v>
      </c>
    </row>
    <row r="54" spans="3:4" x14ac:dyDescent="0.3">
      <c r="C54">
        <v>-2.3069441756775273</v>
      </c>
      <c r="D54">
        <v>-0.689249022703185</v>
      </c>
    </row>
    <row r="55" spans="3:4" x14ac:dyDescent="0.3">
      <c r="C55">
        <v>-2.0718546908689985</v>
      </c>
      <c r="D55">
        <v>-0.17208551279584716</v>
      </c>
    </row>
    <row r="56" spans="3:4" x14ac:dyDescent="0.3">
      <c r="C56">
        <v>-1.8148943511814741</v>
      </c>
      <c r="D56">
        <v>-1.3737350729358553</v>
      </c>
    </row>
    <row r="57" spans="3:4" x14ac:dyDescent="0.3">
      <c r="C57">
        <v>-2.4014342563981064</v>
      </c>
      <c r="D57">
        <v>-0.20845510909858894</v>
      </c>
    </row>
    <row r="58" spans="3:4" x14ac:dyDescent="0.3">
      <c r="C58">
        <v>-2.4020792254855836</v>
      </c>
      <c r="D58">
        <v>-1.5494894247043023</v>
      </c>
    </row>
    <row r="59" spans="3:4" x14ac:dyDescent="0.3">
      <c r="C59">
        <v>-2.3767343627227944</v>
      </c>
      <c r="D59">
        <v>-1.5402377906425293</v>
      </c>
    </row>
    <row r="60" spans="3:4" x14ac:dyDescent="0.3">
      <c r="C60">
        <v>7.5240689164632562</v>
      </c>
      <c r="D60">
        <v>-5.8160511989105634</v>
      </c>
    </row>
    <row r="61" spans="3:4" x14ac:dyDescent="0.3">
      <c r="C61">
        <v>-3.3640780446396787</v>
      </c>
      <c r="D61">
        <v>-0.74044932046244583</v>
      </c>
    </row>
    <row r="62" spans="3:4" x14ac:dyDescent="0.3">
      <c r="C62">
        <v>-3.306525997298766</v>
      </c>
      <c r="D62">
        <v>-1.1468213003834273</v>
      </c>
    </row>
    <row r="63" spans="3:4" x14ac:dyDescent="0.3">
      <c r="C63">
        <v>-0.343800698961229</v>
      </c>
      <c r="D63">
        <v>4.1598350578046131E-2</v>
      </c>
    </row>
    <row r="64" spans="3:4" x14ac:dyDescent="0.3">
      <c r="C64">
        <v>-1.7770102670566521</v>
      </c>
      <c r="D64">
        <v>-0.15928636364244933</v>
      </c>
    </row>
    <row r="65" spans="3:4" x14ac:dyDescent="0.3">
      <c r="C65">
        <v>-2.1476648216577301</v>
      </c>
      <c r="D65">
        <v>-1.0147455504863458</v>
      </c>
    </row>
    <row r="66" spans="3:4" x14ac:dyDescent="0.3">
      <c r="C66">
        <v>-3.1451568572930366</v>
      </c>
      <c r="D66">
        <v>-0.35510365182273262</v>
      </c>
    </row>
    <row r="67" spans="3:4" x14ac:dyDescent="0.3">
      <c r="C67">
        <v>-2.858609689231606</v>
      </c>
      <c r="D67">
        <v>-0.22690373064940847</v>
      </c>
    </row>
    <row r="68" spans="3:4" x14ac:dyDescent="0.3">
      <c r="C68">
        <v>-2.6714218443740219</v>
      </c>
      <c r="D68">
        <v>-5.798995815943337E-2</v>
      </c>
    </row>
    <row r="69" spans="3:4" x14ac:dyDescent="0.3">
      <c r="C69">
        <v>-2.6547786995833653</v>
      </c>
      <c r="D69">
        <v>-1.1734088534012588</v>
      </c>
    </row>
    <row r="70" spans="3:4" x14ac:dyDescent="0.3">
      <c r="C70">
        <v>-2.3176880833561926</v>
      </c>
      <c r="D70">
        <v>-1.441033754395596</v>
      </c>
    </row>
    <row r="71" spans="3:4" x14ac:dyDescent="0.3">
      <c r="C71">
        <v>-2.2685186614853468</v>
      </c>
      <c r="D71">
        <v>-1.5903111039999509</v>
      </c>
    </row>
    <row r="72" spans="3:4" x14ac:dyDescent="0.3">
      <c r="C72">
        <v>-2.3043388456406966</v>
      </c>
      <c r="D72">
        <v>-1.4788383028064485</v>
      </c>
    </row>
    <row r="73" spans="3:4" x14ac:dyDescent="0.3">
      <c r="C73">
        <v>-2.2391344693294482</v>
      </c>
      <c r="D73">
        <v>-1.5432219129708005</v>
      </c>
    </row>
    <row r="74" spans="3:4" x14ac:dyDescent="0.3">
      <c r="C74">
        <v>-2.0306672901917682</v>
      </c>
      <c r="D74">
        <v>-1.7366382696066478</v>
      </c>
    </row>
    <row r="75" spans="3:4" x14ac:dyDescent="0.3">
      <c r="C75">
        <v>-2.3648240272683645</v>
      </c>
      <c r="D75">
        <v>-1.4439373789600083</v>
      </c>
    </row>
    <row r="76" spans="3:4" x14ac:dyDescent="0.3">
      <c r="C76">
        <v>-2.240868276307542</v>
      </c>
      <c r="D76">
        <v>-1.5850501713678793</v>
      </c>
    </row>
    <row r="77" spans="3:4" x14ac:dyDescent="0.3">
      <c r="C77">
        <v>-2.0457746177404372</v>
      </c>
      <c r="D77">
        <v>-1.6052629227800157</v>
      </c>
    </row>
    <row r="78" spans="3:4" x14ac:dyDescent="0.3">
      <c r="C78">
        <v>-2.2856252604143239</v>
      </c>
      <c r="D78">
        <v>-1.5515322189195002</v>
      </c>
    </row>
    <row r="79" spans="3:4" x14ac:dyDescent="0.3">
      <c r="C79">
        <v>-2.1674411979782682</v>
      </c>
      <c r="D79">
        <v>-1.6816479834880524</v>
      </c>
    </row>
    <row r="80" spans="3:4" x14ac:dyDescent="0.3">
      <c r="C80">
        <v>-2.0581921786409367</v>
      </c>
      <c r="D80">
        <v>-1.6359987031805925</v>
      </c>
    </row>
    <row r="81" spans="3:4" x14ac:dyDescent="0.3">
      <c r="C81">
        <v>-2.4258296736597398</v>
      </c>
      <c r="D81">
        <v>-1.6886088409921542</v>
      </c>
    </row>
    <row r="82" spans="3:4" x14ac:dyDescent="0.3">
      <c r="C82">
        <v>-2.5730648906427751</v>
      </c>
      <c r="D82">
        <v>-1.4234244190635419</v>
      </c>
    </row>
    <row r="83" spans="3:4" x14ac:dyDescent="0.3">
      <c r="C83">
        <v>7.914107185464637</v>
      </c>
      <c r="D83">
        <v>-1.4131731430312733</v>
      </c>
    </row>
    <row r="84" spans="3:4" x14ac:dyDescent="0.3">
      <c r="C84">
        <v>10.635532765419553</v>
      </c>
      <c r="D84">
        <v>-3.551499893334185</v>
      </c>
    </row>
    <row r="85" spans="3:4" x14ac:dyDescent="0.3">
      <c r="C85">
        <v>11.069285199887943</v>
      </c>
      <c r="D85">
        <v>-1.8044447091168114</v>
      </c>
    </row>
    <row r="86" spans="3:4" x14ac:dyDescent="0.3">
      <c r="C86">
        <v>7.7336959006770902</v>
      </c>
      <c r="D86">
        <v>-2.0939061850961922</v>
      </c>
    </row>
    <row r="87" spans="3:4" x14ac:dyDescent="0.3">
      <c r="C87">
        <v>9.995297173200056</v>
      </c>
      <c r="D87">
        <v>-3.2904780610190567</v>
      </c>
    </row>
    <row r="88" spans="3:4" x14ac:dyDescent="0.3">
      <c r="C88">
        <v>0.90196589734951216</v>
      </c>
      <c r="D88">
        <v>-2.1028173751790296</v>
      </c>
    </row>
    <row r="89" spans="3:4" x14ac:dyDescent="0.3">
      <c r="C89">
        <v>-1.1608989891600663</v>
      </c>
      <c r="D89">
        <v>-1.3314989732711684</v>
      </c>
    </row>
    <row r="90" spans="3:4" x14ac:dyDescent="0.3">
      <c r="C90">
        <v>-1.0045475316315082</v>
      </c>
      <c r="D90">
        <v>-1.4482076001164463</v>
      </c>
    </row>
    <row r="91" spans="3:4" x14ac:dyDescent="0.3">
      <c r="C91">
        <v>-2.1848430636163196</v>
      </c>
      <c r="D91">
        <v>-2.3983312404686319</v>
      </c>
    </row>
    <row r="92" spans="3:4" x14ac:dyDescent="0.3">
      <c r="C92">
        <v>-2.1732171510750575</v>
      </c>
      <c r="D92">
        <v>-2.2307544084699145</v>
      </c>
    </row>
    <row r="93" spans="3:4" x14ac:dyDescent="0.3">
      <c r="C93">
        <v>-2.0200990623186619</v>
      </c>
      <c r="D93">
        <v>-2.2116236355309158</v>
      </c>
    </row>
    <row r="94" spans="3:4" x14ac:dyDescent="0.3">
      <c r="C94">
        <v>-1.8179347276139028</v>
      </c>
      <c r="D94">
        <v>-2.4675485962730588</v>
      </c>
    </row>
    <row r="95" spans="3:4" x14ac:dyDescent="0.3">
      <c r="C95">
        <v>-2.2309022290824898</v>
      </c>
      <c r="D95">
        <v>-1.7102928070770618</v>
      </c>
    </row>
    <row r="96" spans="3:4" x14ac:dyDescent="0.3">
      <c r="C96">
        <v>-2.4873901641340188</v>
      </c>
      <c r="D96">
        <v>-2.1746400160910193</v>
      </c>
    </row>
    <row r="97" spans="3:4" x14ac:dyDescent="0.3">
      <c r="C97">
        <v>-1.825122159403834</v>
      </c>
      <c r="D97">
        <v>-1.6825742794333165</v>
      </c>
    </row>
    <row r="98" spans="3:4" x14ac:dyDescent="0.3">
      <c r="C98">
        <v>-1.0198683936810182</v>
      </c>
      <c r="D98">
        <v>-2.011627374464076</v>
      </c>
    </row>
    <row r="99" spans="3:4" x14ac:dyDescent="0.3">
      <c r="C99">
        <v>-1.6950929685149529</v>
      </c>
      <c r="D99">
        <v>-2.0886316387618096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07D0-EAA3-4F6F-ACE2-B035D8E290DB}">
  <sheetPr codeName="XLSTAT_20240328_054226_1_HID2"/>
  <dimension ref="A1:B99"/>
  <sheetViews>
    <sheetView workbookViewId="0"/>
  </sheetViews>
  <sheetFormatPr defaultRowHeight="14.4" x14ac:dyDescent="0.3"/>
  <sheetData>
    <row r="1" spans="1:2" x14ac:dyDescent="0.3">
      <c r="A1">
        <v>-2.7700104667885692</v>
      </c>
      <c r="B1">
        <v>5.1631674639664995</v>
      </c>
    </row>
    <row r="2" spans="1:2" x14ac:dyDescent="0.3">
      <c r="A2">
        <v>-2.6693152229172581</v>
      </c>
      <c r="B2">
        <v>5.2121028939294183</v>
      </c>
    </row>
    <row r="3" spans="1:2" x14ac:dyDescent="0.3">
      <c r="A3">
        <v>-2.9035495123890689</v>
      </c>
      <c r="B3">
        <v>6.6204529506929841</v>
      </c>
    </row>
    <row r="4" spans="1:2" x14ac:dyDescent="0.3">
      <c r="A4">
        <v>1.7344225528675339</v>
      </c>
      <c r="B4">
        <v>1.0655772934224628</v>
      </c>
    </row>
    <row r="5" spans="1:2" x14ac:dyDescent="0.3">
      <c r="A5">
        <v>1.2435051828369124</v>
      </c>
      <c r="B5">
        <v>2.0481183279592559</v>
      </c>
    </row>
    <row r="6" spans="1:2" x14ac:dyDescent="0.3">
      <c r="A6">
        <v>1.9941909850412014</v>
      </c>
      <c r="B6">
        <v>0.88145056911490349</v>
      </c>
    </row>
    <row r="7" spans="1:2" x14ac:dyDescent="0.3">
      <c r="A7">
        <v>1.9509882963164666</v>
      </c>
      <c r="B7">
        <v>0.90665248750559102</v>
      </c>
    </row>
    <row r="8" spans="1:2" x14ac:dyDescent="0.3">
      <c r="A8">
        <v>1.3737116003663408</v>
      </c>
      <c r="B8">
        <v>1.9858608101360089</v>
      </c>
    </row>
    <row r="9" spans="1:2" x14ac:dyDescent="0.3">
      <c r="A9">
        <v>1.7856672549536377</v>
      </c>
      <c r="B9">
        <v>2.5250301818908567</v>
      </c>
    </row>
    <row r="10" spans="1:2" x14ac:dyDescent="0.3">
      <c r="A10">
        <v>1.0609851364915721</v>
      </c>
      <c r="B10">
        <v>1.5386720705350103</v>
      </c>
    </row>
    <row r="11" spans="1:2" x14ac:dyDescent="0.3">
      <c r="A11">
        <v>1.5298188280466478</v>
      </c>
      <c r="B11">
        <v>2.3354616851339189</v>
      </c>
    </row>
    <row r="12" spans="1:2" x14ac:dyDescent="0.3">
      <c r="A12">
        <v>-1.7807359408741863</v>
      </c>
      <c r="B12">
        <v>-0.9793772105055556</v>
      </c>
    </row>
    <row r="13" spans="1:2" x14ac:dyDescent="0.3">
      <c r="A13">
        <v>-1.6946330745298233</v>
      </c>
      <c r="B13">
        <v>-1.491865303856454</v>
      </c>
    </row>
    <row r="14" spans="1:2" x14ac:dyDescent="0.3">
      <c r="A14">
        <v>-1.7342345383180762</v>
      </c>
      <c r="B14">
        <v>-1.2453165293960811</v>
      </c>
    </row>
    <row r="15" spans="1:2" x14ac:dyDescent="0.3">
      <c r="A15">
        <v>-1.5659010878296575</v>
      </c>
      <c r="B15">
        <v>-0.99442547201084508</v>
      </c>
    </row>
    <row r="16" spans="1:2" x14ac:dyDescent="0.3">
      <c r="A16">
        <v>-1.734358629325321</v>
      </c>
      <c r="B16">
        <v>-1.185635388695752</v>
      </c>
    </row>
    <row r="17" spans="1:2" x14ac:dyDescent="0.3">
      <c r="A17">
        <v>-1.7657616908505989</v>
      </c>
      <c r="B17">
        <v>1.2914425077294598</v>
      </c>
    </row>
    <row r="18" spans="1:2" x14ac:dyDescent="0.3">
      <c r="A18">
        <v>1.8729999208483048</v>
      </c>
      <c r="B18">
        <v>1.9218402591999537</v>
      </c>
    </row>
    <row r="19" spans="1:2" x14ac:dyDescent="0.3">
      <c r="A19">
        <v>3.1990037565171523</v>
      </c>
      <c r="B19">
        <v>-0.25146525038021139</v>
      </c>
    </row>
    <row r="20" spans="1:2" x14ac:dyDescent="0.3">
      <c r="A20">
        <v>0.87280074351675407</v>
      </c>
      <c r="B20">
        <v>1.9822948932692452</v>
      </c>
    </row>
    <row r="21" spans="1:2" x14ac:dyDescent="0.3">
      <c r="A21">
        <v>4.4391324470032814</v>
      </c>
      <c r="B21">
        <v>-0.82222849977663881</v>
      </c>
    </row>
    <row r="22" spans="1:2" x14ac:dyDescent="0.3">
      <c r="A22">
        <v>1.7370561389722357</v>
      </c>
      <c r="B22">
        <v>1.6079030601955102</v>
      </c>
    </row>
    <row r="23" spans="1:2" x14ac:dyDescent="0.3">
      <c r="A23">
        <v>2.1856132172238789</v>
      </c>
      <c r="B23">
        <v>2.2494045071718989</v>
      </c>
    </row>
    <row r="24" spans="1:2" x14ac:dyDescent="0.3">
      <c r="A24">
        <v>1.4955331233917648</v>
      </c>
      <c r="B24">
        <v>1.3766225668340186</v>
      </c>
    </row>
    <row r="25" spans="1:2" x14ac:dyDescent="0.3">
      <c r="A25">
        <v>1.4788644700082378</v>
      </c>
      <c r="B25">
        <v>2.1187926480743577</v>
      </c>
    </row>
    <row r="26" spans="1:2" x14ac:dyDescent="0.3">
      <c r="A26">
        <v>0.96243773729951776</v>
      </c>
      <c r="B26">
        <v>1.4224695930286981</v>
      </c>
    </row>
    <row r="27" spans="1:2" x14ac:dyDescent="0.3">
      <c r="A27">
        <v>0.39410999401084557</v>
      </c>
      <c r="B27">
        <v>1.3502756144093269</v>
      </c>
    </row>
    <row r="28" spans="1:2" x14ac:dyDescent="0.3">
      <c r="A28">
        <v>0.75910221262003541</v>
      </c>
      <c r="B28">
        <v>0.88598237228904408</v>
      </c>
    </row>
    <row r="29" spans="1:2" x14ac:dyDescent="0.3">
      <c r="A29">
        <v>2.476185508459515</v>
      </c>
      <c r="B29">
        <v>1.5623038367863737</v>
      </c>
    </row>
    <row r="30" spans="1:2" x14ac:dyDescent="0.3">
      <c r="A30">
        <v>1.2543099515600431</v>
      </c>
      <c r="B30">
        <v>2.1040513052868053</v>
      </c>
    </row>
    <row r="31" spans="1:2" x14ac:dyDescent="0.3">
      <c r="A31">
        <v>-1.7150662137549832</v>
      </c>
      <c r="B31">
        <v>0.43420761487781934</v>
      </c>
    </row>
    <row r="32" spans="1:2" x14ac:dyDescent="0.3">
      <c r="A32">
        <v>2.9130453844624338</v>
      </c>
      <c r="B32">
        <v>2.6518994245559968</v>
      </c>
    </row>
    <row r="33" spans="1:2" x14ac:dyDescent="0.3">
      <c r="A33">
        <v>3.0147542680708397</v>
      </c>
      <c r="B33">
        <v>2.4196732994260928</v>
      </c>
    </row>
    <row r="34" spans="1:2" x14ac:dyDescent="0.3">
      <c r="A34">
        <v>1.0034163067494519</v>
      </c>
      <c r="B34">
        <v>2.0720098993317082</v>
      </c>
    </row>
    <row r="35" spans="1:2" x14ac:dyDescent="0.3">
      <c r="A35">
        <v>1.5409494784099538</v>
      </c>
      <c r="B35">
        <v>1.9467350203041198</v>
      </c>
    </row>
    <row r="36" spans="1:2" x14ac:dyDescent="0.3">
      <c r="A36">
        <v>-1.1193755027885457</v>
      </c>
      <c r="B36">
        <v>0.1516997540541371</v>
      </c>
    </row>
    <row r="37" spans="1:2" x14ac:dyDescent="0.3">
      <c r="A37">
        <v>-0.87743306801363319</v>
      </c>
      <c r="B37">
        <v>-4.4321423262626516E-2</v>
      </c>
    </row>
    <row r="38" spans="1:2" x14ac:dyDescent="0.3">
      <c r="A38">
        <v>2.3927991450639832</v>
      </c>
      <c r="B38">
        <v>1.9924197442036244</v>
      </c>
    </row>
    <row r="39" spans="1:2" x14ac:dyDescent="0.3">
      <c r="A39">
        <v>2.0922384811666066</v>
      </c>
      <c r="B39">
        <v>1.4615833679551953</v>
      </c>
    </row>
    <row r="40" spans="1:2" x14ac:dyDescent="0.3">
      <c r="A40">
        <v>2.6829535524811057</v>
      </c>
      <c r="B40">
        <v>1.8423734306664454</v>
      </c>
    </row>
    <row r="41" spans="1:2" x14ac:dyDescent="0.3">
      <c r="A41">
        <v>1.666954766775407</v>
      </c>
      <c r="B41">
        <v>1.5495380927565499</v>
      </c>
    </row>
    <row r="42" spans="1:2" x14ac:dyDescent="0.3">
      <c r="A42">
        <v>1.7173372361938557</v>
      </c>
      <c r="B42">
        <v>2.7461826637884457</v>
      </c>
    </row>
    <row r="43" spans="1:2" x14ac:dyDescent="0.3">
      <c r="A43">
        <v>1.4057315719125594</v>
      </c>
      <c r="B43">
        <v>1.6734982378685381</v>
      </c>
    </row>
    <row r="44" spans="1:2" x14ac:dyDescent="0.3">
      <c r="A44">
        <v>1.6575182368052235</v>
      </c>
      <c r="B44">
        <v>2.1767550935826021</v>
      </c>
    </row>
    <row r="45" spans="1:2" x14ac:dyDescent="0.3">
      <c r="A45">
        <v>1.4599321851782432</v>
      </c>
      <c r="B45">
        <v>0.9221235897401483</v>
      </c>
    </row>
    <row r="46" spans="1:2" x14ac:dyDescent="0.3">
      <c r="A46">
        <v>1.1212470077135848</v>
      </c>
      <c r="B46">
        <v>1.3548390407530491</v>
      </c>
    </row>
    <row r="47" spans="1:2" x14ac:dyDescent="0.3">
      <c r="A47">
        <v>1.7918784720490051</v>
      </c>
      <c r="B47">
        <v>1.7698862356276062</v>
      </c>
    </row>
    <row r="48" spans="1:2" x14ac:dyDescent="0.3">
      <c r="A48">
        <v>1.2219170028170436</v>
      </c>
      <c r="B48">
        <v>0.78966007736569455</v>
      </c>
    </row>
    <row r="49" spans="1:2" x14ac:dyDescent="0.3">
      <c r="A49">
        <v>-2.3397705920288696</v>
      </c>
      <c r="B49">
        <v>-0.81591374113328152</v>
      </c>
    </row>
    <row r="50" spans="1:2" x14ac:dyDescent="0.3">
      <c r="A50">
        <v>-2.5304567012201313</v>
      </c>
      <c r="B50">
        <v>-0.15619700462512237</v>
      </c>
    </row>
    <row r="51" spans="1:2" x14ac:dyDescent="0.3">
      <c r="A51">
        <v>-2.6048471641057938</v>
      </c>
      <c r="B51">
        <v>0.84971362903066927</v>
      </c>
    </row>
    <row r="52" spans="1:2" x14ac:dyDescent="0.3">
      <c r="A52">
        <v>-2.5617776559124308</v>
      </c>
      <c r="B52">
        <v>1.55627625132429</v>
      </c>
    </row>
    <row r="53" spans="1:2" x14ac:dyDescent="0.3">
      <c r="A53">
        <v>-2.3049662356980631</v>
      </c>
      <c r="B53">
        <v>6.9710887353716416E-2</v>
      </c>
    </row>
    <row r="54" spans="1:2" x14ac:dyDescent="0.3">
      <c r="A54">
        <v>-2.3069441756775273</v>
      </c>
      <c r="B54">
        <v>-0.689249022703185</v>
      </c>
    </row>
    <row r="55" spans="1:2" x14ac:dyDescent="0.3">
      <c r="A55">
        <v>-2.0718546908689985</v>
      </c>
      <c r="B55">
        <v>-0.17208551279584716</v>
      </c>
    </row>
    <row r="56" spans="1:2" x14ac:dyDescent="0.3">
      <c r="A56">
        <v>-1.8148943511814741</v>
      </c>
      <c r="B56">
        <v>-1.3737350729358553</v>
      </c>
    </row>
    <row r="57" spans="1:2" x14ac:dyDescent="0.3">
      <c r="A57">
        <v>-2.4014342563981064</v>
      </c>
      <c r="B57">
        <v>-0.20845510909858894</v>
      </c>
    </row>
    <row r="58" spans="1:2" x14ac:dyDescent="0.3">
      <c r="A58">
        <v>-2.4020792254855836</v>
      </c>
      <c r="B58">
        <v>-1.5494894247043023</v>
      </c>
    </row>
    <row r="59" spans="1:2" x14ac:dyDescent="0.3">
      <c r="A59">
        <v>-2.3767343627227944</v>
      </c>
      <c r="B59">
        <v>-1.5402377906425293</v>
      </c>
    </row>
    <row r="60" spans="1:2" x14ac:dyDescent="0.3">
      <c r="A60">
        <v>7.5240689164632562</v>
      </c>
      <c r="B60">
        <v>-5.8160511989105634</v>
      </c>
    </row>
    <row r="61" spans="1:2" x14ac:dyDescent="0.3">
      <c r="A61">
        <v>-3.3640780446396787</v>
      </c>
      <c r="B61">
        <v>-0.74044932046244583</v>
      </c>
    </row>
    <row r="62" spans="1:2" x14ac:dyDescent="0.3">
      <c r="A62">
        <v>-3.306525997298766</v>
      </c>
      <c r="B62">
        <v>-1.1468213003834273</v>
      </c>
    </row>
    <row r="63" spans="1:2" x14ac:dyDescent="0.3">
      <c r="A63">
        <v>-0.343800698961229</v>
      </c>
      <c r="B63">
        <v>4.1598350578046131E-2</v>
      </c>
    </row>
    <row r="64" spans="1:2" x14ac:dyDescent="0.3">
      <c r="A64">
        <v>-1.7770102670566521</v>
      </c>
      <c r="B64">
        <v>-0.15928636364244933</v>
      </c>
    </row>
    <row r="65" spans="1:2" x14ac:dyDescent="0.3">
      <c r="A65">
        <v>-2.1476648216577301</v>
      </c>
      <c r="B65">
        <v>-1.0147455504863458</v>
      </c>
    </row>
    <row r="66" spans="1:2" x14ac:dyDescent="0.3">
      <c r="A66">
        <v>-3.1451568572930366</v>
      </c>
      <c r="B66">
        <v>-0.35510365182273262</v>
      </c>
    </row>
    <row r="67" spans="1:2" x14ac:dyDescent="0.3">
      <c r="A67">
        <v>-2.858609689231606</v>
      </c>
      <c r="B67">
        <v>-0.22690373064940847</v>
      </c>
    </row>
    <row r="68" spans="1:2" x14ac:dyDescent="0.3">
      <c r="A68">
        <v>-2.6714218443740219</v>
      </c>
      <c r="B68">
        <v>-5.798995815943337E-2</v>
      </c>
    </row>
    <row r="69" spans="1:2" x14ac:dyDescent="0.3">
      <c r="A69">
        <v>-2.6547786995833653</v>
      </c>
      <c r="B69">
        <v>-1.1734088534012588</v>
      </c>
    </row>
    <row r="70" spans="1:2" x14ac:dyDescent="0.3">
      <c r="A70">
        <v>-2.3176880833561926</v>
      </c>
      <c r="B70">
        <v>-1.441033754395596</v>
      </c>
    </row>
    <row r="71" spans="1:2" x14ac:dyDescent="0.3">
      <c r="A71">
        <v>-2.2685186614853468</v>
      </c>
      <c r="B71">
        <v>-1.5903111039999509</v>
      </c>
    </row>
    <row r="72" spans="1:2" x14ac:dyDescent="0.3">
      <c r="A72">
        <v>-2.3043388456406966</v>
      </c>
      <c r="B72">
        <v>-1.4788383028064485</v>
      </c>
    </row>
    <row r="73" spans="1:2" x14ac:dyDescent="0.3">
      <c r="A73">
        <v>-2.2391344693294482</v>
      </c>
      <c r="B73">
        <v>-1.5432219129708005</v>
      </c>
    </row>
    <row r="74" spans="1:2" x14ac:dyDescent="0.3">
      <c r="A74">
        <v>-2.0306672901917682</v>
      </c>
      <c r="B74">
        <v>-1.7366382696066478</v>
      </c>
    </row>
    <row r="75" spans="1:2" x14ac:dyDescent="0.3">
      <c r="A75">
        <v>-2.3648240272683645</v>
      </c>
      <c r="B75">
        <v>-1.4439373789600083</v>
      </c>
    </row>
    <row r="76" spans="1:2" x14ac:dyDescent="0.3">
      <c r="A76">
        <v>-2.240868276307542</v>
      </c>
      <c r="B76">
        <v>-1.5850501713678793</v>
      </c>
    </row>
    <row r="77" spans="1:2" x14ac:dyDescent="0.3">
      <c r="A77">
        <v>-2.0457746177404372</v>
      </c>
      <c r="B77">
        <v>-1.6052629227800157</v>
      </c>
    </row>
    <row r="78" spans="1:2" x14ac:dyDescent="0.3">
      <c r="A78">
        <v>-2.2856252604143239</v>
      </c>
      <c r="B78">
        <v>-1.5515322189195002</v>
      </c>
    </row>
    <row r="79" spans="1:2" x14ac:dyDescent="0.3">
      <c r="A79">
        <v>-2.1674411979782682</v>
      </c>
      <c r="B79">
        <v>-1.6816479834880524</v>
      </c>
    </row>
    <row r="80" spans="1:2" x14ac:dyDescent="0.3">
      <c r="A80">
        <v>-2.0581921786409367</v>
      </c>
      <c r="B80">
        <v>-1.6359987031805925</v>
      </c>
    </row>
    <row r="81" spans="1:2" x14ac:dyDescent="0.3">
      <c r="A81">
        <v>-2.4258296736597398</v>
      </c>
      <c r="B81">
        <v>-1.6886088409921542</v>
      </c>
    </row>
    <row r="82" spans="1:2" x14ac:dyDescent="0.3">
      <c r="A82">
        <v>-2.5730648906427751</v>
      </c>
      <c r="B82">
        <v>-1.4234244190635419</v>
      </c>
    </row>
    <row r="83" spans="1:2" x14ac:dyDescent="0.3">
      <c r="A83">
        <v>7.914107185464637</v>
      </c>
      <c r="B83">
        <v>-1.4131731430312733</v>
      </c>
    </row>
    <row r="84" spans="1:2" x14ac:dyDescent="0.3">
      <c r="A84">
        <v>10.635532765419553</v>
      </c>
      <c r="B84">
        <v>-3.551499893334185</v>
      </c>
    </row>
    <row r="85" spans="1:2" x14ac:dyDescent="0.3">
      <c r="A85">
        <v>11.069285199887943</v>
      </c>
      <c r="B85">
        <v>-1.8044447091168114</v>
      </c>
    </row>
    <row r="86" spans="1:2" x14ac:dyDescent="0.3">
      <c r="A86">
        <v>7.7336959006770902</v>
      </c>
      <c r="B86">
        <v>-2.0939061850961922</v>
      </c>
    </row>
    <row r="87" spans="1:2" x14ac:dyDescent="0.3">
      <c r="A87">
        <v>9.995297173200056</v>
      </c>
      <c r="B87">
        <v>-3.2904780610190567</v>
      </c>
    </row>
    <row r="88" spans="1:2" x14ac:dyDescent="0.3">
      <c r="A88">
        <v>0.90196589734951216</v>
      </c>
      <c r="B88">
        <v>-2.1028173751790296</v>
      </c>
    </row>
    <row r="89" spans="1:2" x14ac:dyDescent="0.3">
      <c r="A89">
        <v>-1.1608989891600663</v>
      </c>
      <c r="B89">
        <v>-1.3314989732711684</v>
      </c>
    </row>
    <row r="90" spans="1:2" x14ac:dyDescent="0.3">
      <c r="A90">
        <v>-1.0045475316315082</v>
      </c>
      <c r="B90">
        <v>-1.4482076001164463</v>
      </c>
    </row>
    <row r="91" spans="1:2" x14ac:dyDescent="0.3">
      <c r="A91">
        <v>-2.1848430636163196</v>
      </c>
      <c r="B91">
        <v>-2.3983312404686319</v>
      </c>
    </row>
    <row r="92" spans="1:2" x14ac:dyDescent="0.3">
      <c r="A92">
        <v>-2.1732171510750575</v>
      </c>
      <c r="B92">
        <v>-2.2307544084699145</v>
      </c>
    </row>
    <row r="93" spans="1:2" x14ac:dyDescent="0.3">
      <c r="A93">
        <v>-2.0200990623186619</v>
      </c>
      <c r="B93">
        <v>-2.2116236355309158</v>
      </c>
    </row>
    <row r="94" spans="1:2" x14ac:dyDescent="0.3">
      <c r="A94">
        <v>-1.8179347276139028</v>
      </c>
      <c r="B94">
        <v>-2.4675485962730588</v>
      </c>
    </row>
    <row r="95" spans="1:2" x14ac:dyDescent="0.3">
      <c r="A95">
        <v>-2.2309022290824898</v>
      </c>
      <c r="B95">
        <v>-1.7102928070770618</v>
      </c>
    </row>
    <row r="96" spans="1:2" x14ac:dyDescent="0.3">
      <c r="A96">
        <v>-2.4873901641340188</v>
      </c>
      <c r="B96">
        <v>-2.1746400160910193</v>
      </c>
    </row>
    <row r="97" spans="1:2" x14ac:dyDescent="0.3">
      <c r="A97">
        <v>-1.825122159403834</v>
      </c>
      <c r="B97">
        <v>-1.6825742794333165</v>
      </c>
    </row>
    <row r="98" spans="1:2" x14ac:dyDescent="0.3">
      <c r="A98">
        <v>-1.0198683936810182</v>
      </c>
      <c r="B98">
        <v>-2.011627374464076</v>
      </c>
    </row>
    <row r="99" spans="1:2" x14ac:dyDescent="0.3">
      <c r="A99">
        <v>-1.6950929685149529</v>
      </c>
      <c r="B99">
        <v>-2.0886316387618096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4717-E0B4-43AD-9905-389FAA0DC10D}">
  <sheetPr codeName="XLSTAT_20240328_054226_1_HID1"/>
  <dimension ref="A1:D500"/>
  <sheetViews>
    <sheetView workbookViewId="0"/>
  </sheetViews>
  <sheetFormatPr defaultRowHeight="14.4" x14ac:dyDescent="0.3"/>
  <sheetData>
    <row r="1" spans="1:4" x14ac:dyDescent="0.3">
      <c r="A1">
        <v>1</v>
      </c>
      <c r="B1">
        <f t="shared" ref="B1:B64" si="0">-3.14159265358979+(A1-1)*0.0125915537218028</f>
        <v>-3.14159265358979</v>
      </c>
      <c r="C1">
        <f t="shared" ref="C1:C64" si="1">1*COS(B1)+0</f>
        <v>-1</v>
      </c>
      <c r="D1">
        <f t="shared" ref="D1:D64" si="2">1*SIN(B1)+0+0*COS(B1)</f>
        <v>-3.2311393144413003E-15</v>
      </c>
    </row>
    <row r="2" spans="1:4" x14ac:dyDescent="0.3">
      <c r="A2">
        <v>2</v>
      </c>
      <c r="B2">
        <f t="shared" si="0"/>
        <v>-3.1290010998679874</v>
      </c>
      <c r="C2">
        <f t="shared" si="1"/>
        <v>-0.99992072743481419</v>
      </c>
      <c r="D2">
        <f t="shared" si="2"/>
        <v>-1.2591220998459735E-2</v>
      </c>
    </row>
    <row r="3" spans="1:4" x14ac:dyDescent="0.3">
      <c r="A3">
        <v>3</v>
      </c>
      <c r="B3">
        <f t="shared" si="0"/>
        <v>-3.1164095461461843</v>
      </c>
      <c r="C3">
        <f t="shared" si="1"/>
        <v>-0.99968292230753597</v>
      </c>
      <c r="D3">
        <f t="shared" si="2"/>
        <v>-2.5180445720141945E-2</v>
      </c>
    </row>
    <row r="4" spans="1:4" x14ac:dyDescent="0.3">
      <c r="A4">
        <v>4</v>
      </c>
      <c r="B4">
        <f t="shared" si="0"/>
        <v>-3.1038179924243816</v>
      </c>
      <c r="C4">
        <f t="shared" si="1"/>
        <v>-0.99928662232101029</v>
      </c>
      <c r="D4">
        <f t="shared" si="2"/>
        <v>-3.7765678204774195E-2</v>
      </c>
    </row>
    <row r="5" spans="1:4" x14ac:dyDescent="0.3">
      <c r="A5">
        <v>5</v>
      </c>
      <c r="B5">
        <f t="shared" si="0"/>
        <v>-3.091226438702579</v>
      </c>
      <c r="C5">
        <f t="shared" si="1"/>
        <v>-0.9987318903066702</v>
      </c>
      <c r="D5">
        <f t="shared" si="2"/>
        <v>-5.0344923125031901E-2</v>
      </c>
    </row>
    <row r="6" spans="1:4" x14ac:dyDescent="0.3">
      <c r="A6">
        <v>6</v>
      </c>
      <c r="B6">
        <f t="shared" si="0"/>
        <v>-3.0786348849807759</v>
      </c>
      <c r="C6">
        <f t="shared" si="1"/>
        <v>-0.99801881421457506</v>
      </c>
      <c r="D6">
        <f t="shared" si="2"/>
        <v>-6.291618610288964E-2</v>
      </c>
    </row>
    <row r="7" spans="1:4" x14ac:dyDescent="0.3">
      <c r="A7">
        <v>7</v>
      </c>
      <c r="B7">
        <f t="shared" si="0"/>
        <v>-3.0660433312589732</v>
      </c>
      <c r="C7">
        <f t="shared" si="1"/>
        <v>-0.99714750709946709</v>
      </c>
      <c r="D7">
        <f t="shared" si="2"/>
        <v>-7.547747402581878E-2</v>
      </c>
    </row>
    <row r="8" spans="1:4" x14ac:dyDescent="0.3">
      <c r="A8">
        <v>8</v>
      </c>
      <c r="B8">
        <f t="shared" si="0"/>
        <v>-3.0534517775371706</v>
      </c>
      <c r="C8">
        <f t="shared" si="1"/>
        <v>-0.99611810710284643</v>
      </c>
      <c r="D8">
        <f t="shared" si="2"/>
        <v>-8.8026795362788374E-2</v>
      </c>
    </row>
    <row r="9" spans="1:4" x14ac:dyDescent="0.3">
      <c r="A9">
        <v>9</v>
      </c>
      <c r="B9">
        <f t="shared" si="0"/>
        <v>-3.0408602238153675</v>
      </c>
      <c r="C9">
        <f t="shared" si="1"/>
        <v>-0.9949307774310695</v>
      </c>
      <c r="D9">
        <f t="shared" si="2"/>
        <v>-0.10056216048001143</v>
      </c>
    </row>
    <row r="10" spans="1:4" x14ac:dyDescent="0.3">
      <c r="A10">
        <v>10</v>
      </c>
      <c r="B10">
        <f t="shared" si="0"/>
        <v>-3.0282686700935648</v>
      </c>
      <c r="C10">
        <f t="shared" si="1"/>
        <v>-0.99358570632947418</v>
      </c>
      <c r="D10">
        <f t="shared" si="2"/>
        <v>-0.1130815819563903</v>
      </c>
    </row>
    <row r="11" spans="1:4" x14ac:dyDescent="0.3">
      <c r="A11">
        <v>11</v>
      </c>
      <c r="B11">
        <f t="shared" si="0"/>
        <v>-3.0156771163717622</v>
      </c>
      <c r="C11">
        <f t="shared" si="1"/>
        <v>-0.99208310705253355</v>
      </c>
      <c r="D11">
        <f t="shared" si="2"/>
        <v>-0.12558307489861525</v>
      </c>
    </row>
    <row r="12" spans="1:4" x14ac:dyDescent="0.3">
      <c r="A12">
        <v>12</v>
      </c>
      <c r="B12">
        <f t="shared" si="0"/>
        <v>-3.0030855626499591</v>
      </c>
      <c r="C12">
        <f t="shared" si="1"/>
        <v>-0.99042321783004583</v>
      </c>
      <c r="D12">
        <f t="shared" si="2"/>
        <v>-0.1380646572558584</v>
      </c>
    </row>
    <row r="13" spans="1:4" x14ac:dyDescent="0.3">
      <c r="A13">
        <v>13</v>
      </c>
      <c r="B13">
        <f t="shared" si="0"/>
        <v>-2.9904940089281564</v>
      </c>
      <c r="C13">
        <f t="shared" si="1"/>
        <v>-0.98860630182936415</v>
      </c>
      <c r="D13">
        <f t="shared" si="2"/>
        <v>-0.15052435013401677</v>
      </c>
    </row>
    <row r="14" spans="1:4" x14ac:dyDescent="0.3">
      <c r="A14">
        <v>14</v>
      </c>
      <c r="B14">
        <f t="shared" si="0"/>
        <v>-2.9779024552063538</v>
      </c>
      <c r="C14">
        <f t="shared" si="1"/>
        <v>-0.98663264711367293</v>
      </c>
      <c r="D14">
        <f t="shared" si="2"/>
        <v>-0.16296017810945904</v>
      </c>
    </row>
    <row r="15" spans="1:4" x14ac:dyDescent="0.3">
      <c r="A15">
        <v>15</v>
      </c>
      <c r="B15">
        <f t="shared" si="0"/>
        <v>-2.9653109014845507</v>
      </c>
      <c r="C15">
        <f t="shared" si="1"/>
        <v>-0.98450256659631608</v>
      </c>
      <c r="D15">
        <f t="shared" si="2"/>
        <v>-0.17537016954221801</v>
      </c>
    </row>
    <row r="16" spans="1:4" x14ac:dyDescent="0.3">
      <c r="A16">
        <v>16</v>
      </c>
      <c r="B16">
        <f t="shared" si="0"/>
        <v>-2.952719347762748</v>
      </c>
      <c r="C16">
        <f t="shared" si="1"/>
        <v>-0.9822163979911871</v>
      </c>
      <c r="D16">
        <f t="shared" si="2"/>
        <v>-0.18775235688858319</v>
      </c>
    </row>
    <row r="17" spans="1:4" x14ac:dyDescent="0.3">
      <c r="A17">
        <v>17</v>
      </c>
      <c r="B17">
        <f t="shared" si="0"/>
        <v>-2.9401277940409454</v>
      </c>
      <c r="C17">
        <f t="shared" si="1"/>
        <v>-0.97977450375918562</v>
      </c>
      <c r="D17">
        <f t="shared" si="2"/>
        <v>-0.20010477701304791</v>
      </c>
    </row>
    <row r="18" spans="1:4" x14ac:dyDescent="0.3">
      <c r="A18">
        <v>18</v>
      </c>
      <c r="B18">
        <f t="shared" si="0"/>
        <v>-2.9275362403191423</v>
      </c>
      <c r="C18">
        <f t="shared" si="1"/>
        <v>-0.9771772710507507</v>
      </c>
      <c r="D18">
        <f t="shared" si="2"/>
        <v>-0.21242547149955354</v>
      </c>
    </row>
    <row r="19" spans="1:4" x14ac:dyDescent="0.3">
      <c r="A19">
        <v>19</v>
      </c>
      <c r="B19">
        <f t="shared" si="0"/>
        <v>-2.9149446865973396</v>
      </c>
      <c r="C19">
        <f t="shared" si="1"/>
        <v>-0.97442511164448109</v>
      </c>
      <c r="D19">
        <f t="shared" si="2"/>
        <v>-0.22471248696198562</v>
      </c>
    </row>
    <row r="20" spans="1:4" x14ac:dyDescent="0.3">
      <c r="A20">
        <v>20</v>
      </c>
      <c r="B20">
        <f t="shared" si="0"/>
        <v>-2.902353132875537</v>
      </c>
      <c r="C20">
        <f t="shared" si="1"/>
        <v>-0.97151846188184843</v>
      </c>
      <c r="D20">
        <f t="shared" si="2"/>
        <v>-0.23696387535387617</v>
      </c>
    </row>
    <row r="21" spans="1:4" x14ac:dyDescent="0.3">
      <c r="A21">
        <v>21</v>
      </c>
      <c r="B21">
        <f t="shared" si="0"/>
        <v>-2.8897615791537339</v>
      </c>
      <c r="C21">
        <f t="shared" si="1"/>
        <v>-0.96845778259801829</v>
      </c>
      <c r="D21">
        <f t="shared" si="2"/>
        <v>-0.24917769427725583</v>
      </c>
    </row>
    <row r="22" spans="1:4" x14ac:dyDescent="0.3">
      <c r="A22">
        <v>22</v>
      </c>
      <c r="B22">
        <f t="shared" si="0"/>
        <v>-2.8771700254319312</v>
      </c>
      <c r="C22">
        <f t="shared" si="1"/>
        <v>-0.96524355904878689</v>
      </c>
      <c r="D22">
        <f t="shared" si="2"/>
        <v>-0.2613520072906102</v>
      </c>
    </row>
    <row r="23" spans="1:4" x14ac:dyDescent="0.3">
      <c r="A23">
        <v>23</v>
      </c>
      <c r="B23">
        <f t="shared" si="0"/>
        <v>-2.8645784717101286</v>
      </c>
      <c r="C23">
        <f t="shared" si="1"/>
        <v>-0.96187630083364573</v>
      </c>
      <c r="D23">
        <f t="shared" si="2"/>
        <v>-0.27348488421589578</v>
      </c>
    </row>
    <row r="24" spans="1:4" x14ac:dyDescent="0.3">
      <c r="A24">
        <v>24</v>
      </c>
      <c r="B24">
        <f t="shared" si="0"/>
        <v>-2.8519869179883255</v>
      </c>
      <c r="C24">
        <f t="shared" si="1"/>
        <v>-0.95835654181498742</v>
      </c>
      <c r="D24">
        <f t="shared" si="2"/>
        <v>-0.28557440144455914</v>
      </c>
    </row>
    <row r="25" spans="1:4" x14ac:dyDescent="0.3">
      <c r="A25">
        <v>25</v>
      </c>
      <c r="B25">
        <f t="shared" si="0"/>
        <v>-2.8393953642665228</v>
      </c>
      <c r="C25">
        <f t="shared" si="1"/>
        <v>-0.95468484003346477</v>
      </c>
      <c r="D25">
        <f t="shared" si="2"/>
        <v>-0.29761864224251428</v>
      </c>
    </row>
    <row r="26" spans="1:4" x14ac:dyDescent="0.3">
      <c r="A26">
        <v>26</v>
      </c>
      <c r="B26">
        <f t="shared" si="0"/>
        <v>-2.8268038105447202</v>
      </c>
      <c r="C26">
        <f t="shared" si="1"/>
        <v>-0.95086177761951529</v>
      </c>
      <c r="D26">
        <f t="shared" si="2"/>
        <v>-0.30961569705403402</v>
      </c>
    </row>
    <row r="27" spans="1:4" x14ac:dyDescent="0.3">
      <c r="A27">
        <v>27</v>
      </c>
      <c r="B27">
        <f t="shared" si="0"/>
        <v>-2.8142122568229171</v>
      </c>
      <c r="C27">
        <f t="shared" si="1"/>
        <v>-0.94688796070106762</v>
      </c>
      <c r="D27">
        <f t="shared" si="2"/>
        <v>-0.32156366380449974</v>
      </c>
    </row>
    <row r="28" spans="1:4" x14ac:dyDescent="0.3">
      <c r="A28">
        <v>28</v>
      </c>
      <c r="B28">
        <f t="shared" si="0"/>
        <v>-2.8016207031011144</v>
      </c>
      <c r="C28">
        <f t="shared" si="1"/>
        <v>-0.94276401930744358</v>
      </c>
      <c r="D28">
        <f t="shared" si="2"/>
        <v>-0.33346064820196436</v>
      </c>
    </row>
    <row r="29" spans="1:4" x14ac:dyDescent="0.3">
      <c r="A29">
        <v>29</v>
      </c>
      <c r="B29">
        <f t="shared" si="0"/>
        <v>-2.7890291493793118</v>
      </c>
      <c r="C29">
        <f t="shared" si="1"/>
        <v>-0.93849060726946865</v>
      </c>
      <c r="D29">
        <f t="shared" si="2"/>
        <v>-0.345304764037486</v>
      </c>
    </row>
    <row r="30" spans="1:4" x14ac:dyDescent="0.3">
      <c r="A30">
        <v>30</v>
      </c>
      <c r="B30">
        <f t="shared" si="0"/>
        <v>-2.7764375956575087</v>
      </c>
      <c r="C30">
        <f t="shared" si="1"/>
        <v>-0.93406840211581166</v>
      </c>
      <c r="D30">
        <f t="shared" si="2"/>
        <v>-0.35709413348417585</v>
      </c>
    </row>
    <row r="31" spans="1:4" x14ac:dyDescent="0.3">
      <c r="A31">
        <v>31</v>
      </c>
      <c r="B31">
        <f t="shared" si="0"/>
        <v>-2.763846041935706</v>
      </c>
      <c r="C31">
        <f t="shared" si="1"/>
        <v>-0.9294981049655654</v>
      </c>
      <c r="D31">
        <f t="shared" si="2"/>
        <v>-0.36882688739491704</v>
      </c>
    </row>
    <row r="32" spans="1:4" x14ac:dyDescent="0.3">
      <c r="A32">
        <v>32</v>
      </c>
      <c r="B32">
        <f t="shared" si="0"/>
        <v>-2.7512544882139034</v>
      </c>
      <c r="C32">
        <f t="shared" si="1"/>
        <v>-0.92478044041708718</v>
      </c>
      <c r="D32">
        <f t="shared" si="2"/>
        <v>-0.38050116559871172</v>
      </c>
    </row>
    <row r="33" spans="1:4" x14ac:dyDescent="0.3">
      <c r="A33">
        <v>33</v>
      </c>
      <c r="B33">
        <f t="shared" si="0"/>
        <v>-2.7386629344921003</v>
      </c>
      <c r="C33">
        <f t="shared" si="1"/>
        <v>-0.91991615643311786</v>
      </c>
      <c r="D33">
        <f t="shared" si="2"/>
        <v>-0.39211511719560044</v>
      </c>
    </row>
    <row r="34" spans="1:4" x14ac:dyDescent="0.3">
      <c r="A34">
        <v>34</v>
      </c>
      <c r="B34">
        <f t="shared" si="0"/>
        <v>-2.7260713807702976</v>
      </c>
      <c r="C34">
        <f t="shared" si="1"/>
        <v>-0.91490602422219602</v>
      </c>
      <c r="D34">
        <f t="shared" si="2"/>
        <v>-0.40366690085011231</v>
      </c>
    </row>
    <row r="35" spans="1:4" x14ac:dyDescent="0.3">
      <c r="A35">
        <v>35</v>
      </c>
      <c r="B35">
        <f t="shared" si="0"/>
        <v>-2.713479827048495</v>
      </c>
      <c r="C35">
        <f t="shared" si="1"/>
        <v>-0.90975083811638624</v>
      </c>
      <c r="D35">
        <f t="shared" si="2"/>
        <v>-0.41515468508320219</v>
      </c>
    </row>
    <row r="36" spans="1:4" x14ac:dyDescent="0.3">
      <c r="A36">
        <v>36</v>
      </c>
      <c r="B36">
        <f t="shared" si="0"/>
        <v>-2.7008882733266919</v>
      </c>
      <c r="C36">
        <f t="shared" si="1"/>
        <v>-0.90445141544534147</v>
      </c>
      <c r="D36">
        <f t="shared" si="2"/>
        <v>-0.42657664856262156</v>
      </c>
    </row>
    <row r="37" spans="1:4" x14ac:dyDescent="0.3">
      <c r="A37">
        <v>37</v>
      </c>
      <c r="B37">
        <f t="shared" si="0"/>
        <v>-2.6882967196048893</v>
      </c>
      <c r="C37">
        <f t="shared" si="1"/>
        <v>-0.89900859640672026</v>
      </c>
      <c r="D37">
        <f t="shared" si="2"/>
        <v>-0.43793098039168077</v>
      </c>
    </row>
    <row r="38" spans="1:4" x14ac:dyDescent="0.3">
      <c r="A38">
        <v>38</v>
      </c>
      <c r="B38">
        <f t="shared" si="0"/>
        <v>-2.6757051658830866</v>
      </c>
      <c r="C38">
        <f t="shared" si="1"/>
        <v>-0.89342324393297667</v>
      </c>
      <c r="D38">
        <f t="shared" si="2"/>
        <v>-0.44921588039636001</v>
      </c>
    </row>
    <row r="39" spans="1:4" x14ac:dyDescent="0.3">
      <c r="A39">
        <v>39</v>
      </c>
      <c r="B39">
        <f t="shared" si="0"/>
        <v>-2.6631136121612835</v>
      </c>
      <c r="C39">
        <f t="shared" si="1"/>
        <v>-0.88769624355454657</v>
      </c>
      <c r="D39">
        <f t="shared" si="2"/>
        <v>-0.46042955941071717</v>
      </c>
    </row>
    <row r="40" spans="1:4" x14ac:dyDescent="0.3">
      <c r="A40">
        <v>40</v>
      </c>
      <c r="B40">
        <f t="shared" si="0"/>
        <v>-2.6505220584394809</v>
      </c>
      <c r="C40">
        <f t="shared" si="1"/>
        <v>-0.88182850325945195</v>
      </c>
      <c r="D40">
        <f t="shared" si="2"/>
        <v>-0.47157023956055033</v>
      </c>
    </row>
    <row r="41" spans="1:4" x14ac:dyDescent="0.3">
      <c r="A41">
        <v>41</v>
      </c>
      <c r="B41">
        <f t="shared" si="0"/>
        <v>-2.6379305047176782</v>
      </c>
      <c r="C41">
        <f t="shared" si="1"/>
        <v>-0.87582095334934262</v>
      </c>
      <c r="D41">
        <f t="shared" si="2"/>
        <v>-0.48263615454527298</v>
      </c>
    </row>
    <row r="42" spans="1:4" x14ac:dyDescent="0.3">
      <c r="A42">
        <v>42</v>
      </c>
      <c r="B42">
        <f t="shared" si="0"/>
        <v>-2.6253389509958751</v>
      </c>
      <c r="C42">
        <f t="shared" si="1"/>
        <v>-0.86967454629200225</v>
      </c>
      <c r="D42">
        <f t="shared" si="2"/>
        <v>-0.4936255499179516</v>
      </c>
    </row>
    <row r="43" spans="1:4" x14ac:dyDescent="0.3">
      <c r="A43">
        <v>43</v>
      </c>
      <c r="B43">
        <f t="shared" si="0"/>
        <v>-2.6127473972740725</v>
      </c>
      <c r="C43">
        <f t="shared" si="1"/>
        <v>-0.8633902565703393</v>
      </c>
      <c r="D43">
        <f t="shared" si="2"/>
        <v>-0.50453668336346336</v>
      </c>
    </row>
    <row r="44" spans="1:4" x14ac:dyDescent="0.3">
      <c r="A44">
        <v>44</v>
      </c>
      <c r="B44">
        <f t="shared" si="0"/>
        <v>-2.6001558435522698</v>
      </c>
      <c r="C44">
        <f t="shared" si="1"/>
        <v>-0.8569690805278869</v>
      </c>
      <c r="D44">
        <f t="shared" si="2"/>
        <v>-0.51536782497473399</v>
      </c>
    </row>
    <row r="45" spans="1:4" x14ac:dyDescent="0.3">
      <c r="A45">
        <v>45</v>
      </c>
      <c r="B45">
        <f t="shared" si="0"/>
        <v>-2.5875642898304667</v>
      </c>
      <c r="C45">
        <f t="shared" si="1"/>
        <v>-0.85041203621083761</v>
      </c>
      <c r="D45">
        <f t="shared" si="2"/>
        <v>-0.52611725752700511</v>
      </c>
    </row>
    <row r="46" spans="1:4" x14ac:dyDescent="0.3">
      <c r="A46">
        <v>46</v>
      </c>
      <c r="B46">
        <f t="shared" si="0"/>
        <v>-2.5749727361086641</v>
      </c>
      <c r="C46">
        <f t="shared" si="1"/>
        <v>-0.84372016320663801</v>
      </c>
      <c r="D46">
        <f t="shared" si="2"/>
        <v>-0.53678327675009052</v>
      </c>
    </row>
    <row r="47" spans="1:4" x14ac:dyDescent="0.3">
      <c r="A47">
        <v>47</v>
      </c>
      <c r="B47">
        <f t="shared" si="0"/>
        <v>-2.5623811823868614</v>
      </c>
      <c r="C47">
        <f t="shared" si="1"/>
        <v>-0.83689452247916551</v>
      </c>
      <c r="D47">
        <f t="shared" si="2"/>
        <v>-0.54736419159858218</v>
      </c>
    </row>
    <row r="48" spans="1:4" x14ac:dyDescent="0.3">
      <c r="A48">
        <v>48</v>
      </c>
      <c r="B48">
        <f t="shared" si="0"/>
        <v>-2.5497896286650583</v>
      </c>
      <c r="C48">
        <f t="shared" si="1"/>
        <v>-0.82993619620051928</v>
      </c>
      <c r="D48">
        <f t="shared" si="2"/>
        <v>-0.55785832451995665</v>
      </c>
    </row>
    <row r="49" spans="1:4" x14ac:dyDescent="0.3">
      <c r="A49">
        <v>49</v>
      </c>
      <c r="B49">
        <f t="shared" si="0"/>
        <v>-2.5371980749432557</v>
      </c>
      <c r="C49">
        <f t="shared" si="1"/>
        <v>-0.82284628757944644</v>
      </c>
      <c r="D49">
        <f t="shared" si="2"/>
        <v>-0.56826401172054075</v>
      </c>
    </row>
    <row r="50" spans="1:4" x14ac:dyDescent="0.3">
      <c r="A50">
        <v>50</v>
      </c>
      <c r="B50">
        <f t="shared" si="0"/>
        <v>-2.524606521221453</v>
      </c>
      <c r="C50">
        <f t="shared" si="1"/>
        <v>-0.81562592068643358</v>
      </c>
      <c r="D50">
        <f t="shared" si="2"/>
        <v>-0.57857960342930126</v>
      </c>
    </row>
    <row r="51" spans="1:4" x14ac:dyDescent="0.3">
      <c r="A51">
        <v>51</v>
      </c>
      <c r="B51">
        <f t="shared" si="0"/>
        <v>-2.5120149674996499</v>
      </c>
      <c r="C51">
        <f t="shared" si="1"/>
        <v>-0.80827624027549083</v>
      </c>
      <c r="D51">
        <f t="shared" si="2"/>
        <v>-0.58880346415940599</v>
      </c>
    </row>
    <row r="52" spans="1:4" x14ac:dyDescent="0.3">
      <c r="A52">
        <v>52</v>
      </c>
      <c r="B52">
        <f t="shared" si="0"/>
        <v>-2.4994234137778473</v>
      </c>
      <c r="C52">
        <f t="shared" si="1"/>
        <v>-0.80079841160265763</v>
      </c>
      <c r="D52">
        <f t="shared" si="2"/>
        <v>-0.59893397296752204</v>
      </c>
    </row>
    <row r="53" spans="1:4" x14ac:dyDescent="0.3">
      <c r="A53">
        <v>53</v>
      </c>
      <c r="B53">
        <f t="shared" si="0"/>
        <v>-2.4868318600560446</v>
      </c>
      <c r="C53">
        <f t="shared" si="1"/>
        <v>-0.79319362024125561</v>
      </c>
      <c r="D53">
        <f t="shared" si="2"/>
        <v>-0.60896952371081003</v>
      </c>
    </row>
    <row r="54" spans="1:4" x14ac:dyDescent="0.3">
      <c r="A54">
        <v>54</v>
      </c>
      <c r="B54">
        <f t="shared" si="0"/>
        <v>-2.4742403063342415</v>
      </c>
      <c r="C54">
        <f t="shared" si="1"/>
        <v>-0.78546307189392217</v>
      </c>
      <c r="D54">
        <f t="shared" si="2"/>
        <v>-0.61890852530156926</v>
      </c>
    </row>
    <row r="55" spans="1:4" x14ac:dyDescent="0.3">
      <c r="A55">
        <v>55</v>
      </c>
      <c r="B55">
        <f t="shared" si="0"/>
        <v>-2.4616487526124389</v>
      </c>
      <c r="C55">
        <f t="shared" si="1"/>
        <v>-0.7776079922014536</v>
      </c>
      <c r="D55">
        <f t="shared" si="2"/>
        <v>-0.62874940195949613</v>
      </c>
    </row>
    <row r="56" spans="1:4" x14ac:dyDescent="0.3">
      <c r="A56">
        <v>56</v>
      </c>
      <c r="B56">
        <f t="shared" si="0"/>
        <v>-2.4490571988906362</v>
      </c>
      <c r="C56">
        <f t="shared" si="1"/>
        <v>-0.76962962654848344</v>
      </c>
      <c r="D56">
        <f t="shared" si="2"/>
        <v>-0.63849059346151837</v>
      </c>
    </row>
    <row r="57" spans="1:4" x14ac:dyDescent="0.3">
      <c r="A57">
        <v>57</v>
      </c>
      <c r="B57">
        <f t="shared" si="0"/>
        <v>-2.4364656451688331</v>
      </c>
      <c r="C57">
        <f t="shared" si="1"/>
        <v>-0.76152923986603405</v>
      </c>
      <c r="D57">
        <f t="shared" si="2"/>
        <v>-0.64813055538915954</v>
      </c>
    </row>
    <row r="58" spans="1:4" x14ac:dyDescent="0.3">
      <c r="A58">
        <v>58</v>
      </c>
      <c r="B58">
        <f t="shared" si="0"/>
        <v>-2.4238740914470305</v>
      </c>
      <c r="C58">
        <f t="shared" si="1"/>
        <v>-0.75330811643096862</v>
      </c>
      <c r="D58">
        <f t="shared" si="2"/>
        <v>-0.65766775937339839</v>
      </c>
    </row>
    <row r="59" spans="1:4" x14ac:dyDescent="0.3">
      <c r="A59">
        <v>59</v>
      </c>
      <c r="B59">
        <f t="shared" si="0"/>
        <v>-2.4112825377252278</v>
      </c>
      <c r="C59">
        <f t="shared" si="1"/>
        <v>-0.74496755966237371</v>
      </c>
      <c r="D59">
        <f t="shared" si="2"/>
        <v>-0.66710069333698618</v>
      </c>
    </row>
    <row r="60" spans="1:4" x14ac:dyDescent="0.3">
      <c r="A60">
        <v>60</v>
      </c>
      <c r="B60">
        <f t="shared" si="0"/>
        <v>-2.3986909840034247</v>
      </c>
      <c r="C60">
        <f t="shared" si="1"/>
        <v>-0.7365088919149092</v>
      </c>
      <c r="D60">
        <f t="shared" si="2"/>
        <v>-0.67642786173417824</v>
      </c>
    </row>
    <row r="61" spans="1:4" x14ac:dyDescent="0.3">
      <c r="A61">
        <v>61</v>
      </c>
      <c r="B61">
        <f t="shared" si="0"/>
        <v>-2.3860994302816221</v>
      </c>
      <c r="C61">
        <f t="shared" si="1"/>
        <v>-0.72793345426915657</v>
      </c>
      <c r="D61">
        <f t="shared" si="2"/>
        <v>-0.68564778578784435</v>
      </c>
    </row>
    <row r="62" spans="1:4" x14ac:dyDescent="0.3">
      <c r="A62">
        <v>62</v>
      </c>
      <c r="B62">
        <f t="shared" si="0"/>
        <v>-2.3735078765598194</v>
      </c>
      <c r="C62">
        <f t="shared" si="1"/>
        <v>-0.71924260631899495</v>
      </c>
      <c r="D62">
        <f t="shared" si="2"/>
        <v>-0.69475900372392385</v>
      </c>
    </row>
    <row r="63" spans="1:4" x14ac:dyDescent="0.3">
      <c r="A63">
        <v>63</v>
      </c>
      <c r="B63">
        <f t="shared" si="0"/>
        <v>-2.3609163228380163</v>
      </c>
      <c r="C63">
        <f t="shared" si="1"/>
        <v>-0.71043772595604548</v>
      </c>
      <c r="D63">
        <f t="shared" si="2"/>
        <v>-0.70376007100318139</v>
      </c>
    </row>
    <row r="64" spans="1:4" x14ac:dyDescent="0.3">
      <c r="A64">
        <v>64</v>
      </c>
      <c r="B64">
        <f t="shared" si="0"/>
        <v>-2.3483247691162137</v>
      </c>
      <c r="C64">
        <f t="shared" si="1"/>
        <v>-0.70152020915121371</v>
      </c>
      <c r="D64">
        <f t="shared" si="2"/>
        <v>-0.71264956055023099</v>
      </c>
    </row>
    <row r="65" spans="1:4" x14ac:dyDescent="0.3">
      <c r="A65">
        <v>65</v>
      </c>
      <c r="B65">
        <f t="shared" ref="B65:B128" si="3">-3.14159265358979+(A65-1)*0.0125915537218028</f>
        <v>-2.335733215394411</v>
      </c>
      <c r="C65">
        <f t="shared" ref="C65:C128" si="4">1*COS(B65)+0</f>
        <v>-0.69249146973336373</v>
      </c>
      <c r="D65">
        <f t="shared" ref="D65:D128" si="5">1*SIN(B65)+0+0*COS(B65)</f>
        <v>-0.72142606297979406</v>
      </c>
    </row>
    <row r="66" spans="1:4" x14ac:dyDescent="0.3">
      <c r="A66">
        <v>66</v>
      </c>
      <c r="B66">
        <f t="shared" si="3"/>
        <v>-2.3231416616726079</v>
      </c>
      <c r="C66">
        <f t="shared" si="4"/>
        <v>-0.68335293916516338</v>
      </c>
      <c r="D66">
        <f t="shared" si="5"/>
        <v>-0.73008818682014875</v>
      </c>
    </row>
    <row r="67" spans="1:4" x14ac:dyDescent="0.3">
      <c r="A67">
        <v>67</v>
      </c>
      <c r="B67">
        <f t="shared" si="3"/>
        <v>-2.3105501079508053</v>
      </c>
      <c r="C67">
        <f t="shared" si="4"/>
        <v>-0.67410606631613368</v>
      </c>
      <c r="D67">
        <f t="shared" si="5"/>
        <v>-0.73863455873374106</v>
      </c>
    </row>
    <row r="68" spans="1:4" x14ac:dyDescent="0.3">
      <c r="A68">
        <v>68</v>
      </c>
      <c r="B68">
        <f t="shared" si="3"/>
        <v>-2.2979585542290026</v>
      </c>
      <c r="C68">
        <f t="shared" si="4"/>
        <v>-0.66475231723293549</v>
      </c>
      <c r="D68">
        <f t="shared" si="5"/>
        <v>-0.74706382373492208</v>
      </c>
    </row>
    <row r="69" spans="1:4" x14ac:dyDescent="0.3">
      <c r="A69">
        <v>69</v>
      </c>
      <c r="B69">
        <f t="shared" si="3"/>
        <v>-2.2853670005071995</v>
      </c>
      <c r="C69">
        <f t="shared" si="4"/>
        <v>-0.65529317490693662</v>
      </c>
      <c r="D69">
        <f t="shared" si="5"/>
        <v>-0.75537464540477328</v>
      </c>
    </row>
    <row r="70" spans="1:4" x14ac:dyDescent="0.3">
      <c r="A70">
        <v>70</v>
      </c>
      <c r="B70">
        <f t="shared" si="3"/>
        <v>-2.2727754467853969</v>
      </c>
      <c r="C70">
        <f t="shared" si="4"/>
        <v>-0.64573013903909071</v>
      </c>
      <c r="D70">
        <f t="shared" si="5"/>
        <v>-0.76356570610298924</v>
      </c>
    </row>
    <row r="71" spans="1:4" x14ac:dyDescent="0.3">
      <c r="A71">
        <v>71</v>
      </c>
      <c r="B71">
        <f t="shared" si="3"/>
        <v>-2.2601838930635942</v>
      </c>
      <c r="C71">
        <f t="shared" si="4"/>
        <v>-0.63606472580216611</v>
      </c>
      <c r="D71">
        <f t="shared" si="5"/>
        <v>-0.77163570717678376</v>
      </c>
    </row>
    <row r="72" spans="1:4" x14ac:dyDescent="0.3">
      <c r="A72">
        <v>72</v>
      </c>
      <c r="B72">
        <f t="shared" si="3"/>
        <v>-2.2475923393417911</v>
      </c>
      <c r="C72">
        <f t="shared" si="4"/>
        <v>-0.62629846760036412</v>
      </c>
      <c r="D72">
        <f t="shared" si="5"/>
        <v>-0.77958336916678495</v>
      </c>
    </row>
    <row r="73" spans="1:4" x14ac:dyDescent="0.3">
      <c r="A73">
        <v>73</v>
      </c>
      <c r="B73">
        <f t="shared" si="3"/>
        <v>-2.2350007856199885</v>
      </c>
      <c r="C73">
        <f t="shared" si="4"/>
        <v>-0.61643291282636525</v>
      </c>
      <c r="D73">
        <f t="shared" si="5"/>
        <v>-0.78740743200988572</v>
      </c>
    </row>
    <row r="74" spans="1:4" x14ac:dyDescent="0.3">
      <c r="A74">
        <v>74</v>
      </c>
      <c r="B74">
        <f t="shared" si="3"/>
        <v>-2.2224092318981858</v>
      </c>
      <c r="C74">
        <f t="shared" si="4"/>
        <v>-0.60646962561583695</v>
      </c>
      <c r="D74">
        <f t="shared" si="5"/>
        <v>-0.79510665523902302</v>
      </c>
    </row>
    <row r="75" spans="1:4" x14ac:dyDescent="0.3">
      <c r="A75">
        <v>75</v>
      </c>
      <c r="B75">
        <f t="shared" si="3"/>
        <v>-2.2098176781763827</v>
      </c>
      <c r="C75">
        <f t="shared" si="4"/>
        <v>-0.59641018559944858</v>
      </c>
      <c r="D75">
        <f t="shared" si="5"/>
        <v>-0.80267981817984635</v>
      </c>
    </row>
    <row r="76" spans="1:4" x14ac:dyDescent="0.3">
      <c r="A76">
        <v>76</v>
      </c>
      <c r="B76">
        <f t="shared" si="3"/>
        <v>-2.1972261244545801</v>
      </c>
      <c r="C76">
        <f t="shared" si="4"/>
        <v>-0.58625618765242993</v>
      </c>
      <c r="D76">
        <f t="shared" si="5"/>
        <v>-0.81012572014424955</v>
      </c>
    </row>
    <row r="77" spans="1:4" x14ac:dyDescent="0.3">
      <c r="A77">
        <v>77</v>
      </c>
      <c r="B77">
        <f t="shared" si="3"/>
        <v>-2.1846345707327774</v>
      </c>
      <c r="C77">
        <f t="shared" si="4"/>
        <v>-0.57600924164170875</v>
      </c>
      <c r="D77">
        <f t="shared" si="5"/>
        <v>-0.81744318062073507</v>
      </c>
    </row>
    <row r="78" spans="1:4" x14ac:dyDescent="0.3">
      <c r="A78">
        <v>78</v>
      </c>
      <c r="B78">
        <f t="shared" si="3"/>
        <v>-2.1720430170109744</v>
      </c>
      <c r="C78">
        <f t="shared" si="4"/>
        <v>-0.56567097217067575</v>
      </c>
      <c r="D78">
        <f t="shared" si="5"/>
        <v>-0.8246310394615779</v>
      </c>
    </row>
    <row r="79" spans="1:4" x14ac:dyDescent="0.3">
      <c r="A79">
        <v>79</v>
      </c>
      <c r="B79">
        <f t="shared" si="3"/>
        <v>-2.1594514632891717</v>
      </c>
      <c r="C79">
        <f t="shared" si="4"/>
        <v>-0.55524301832161305</v>
      </c>
      <c r="D79">
        <f t="shared" si="5"/>
        <v>-0.83168815706676069</v>
      </c>
    </row>
    <row r="80" spans="1:4" x14ac:dyDescent="0.3">
      <c r="A80">
        <v>80</v>
      </c>
      <c r="B80">
        <f t="shared" si="3"/>
        <v>-2.1468599095673691</v>
      </c>
      <c r="C80">
        <f t="shared" si="4"/>
        <v>-0.54472703339582262</v>
      </c>
      <c r="D80">
        <f t="shared" si="5"/>
        <v>-0.83861341456465288</v>
      </c>
    </row>
    <row r="81" spans="1:4" x14ac:dyDescent="0.3">
      <c r="A81">
        <v>81</v>
      </c>
      <c r="B81">
        <f t="shared" si="3"/>
        <v>-2.134268355845566</v>
      </c>
      <c r="C81">
        <f t="shared" si="4"/>
        <v>-0.5341246846515052</v>
      </c>
      <c r="D81">
        <f t="shared" si="5"/>
        <v>-0.84540571398940179</v>
      </c>
    </row>
    <row r="82" spans="1:4" x14ac:dyDescent="0.3">
      <c r="A82">
        <v>82</v>
      </c>
      <c r="B82">
        <f t="shared" si="3"/>
        <v>-2.1216768021237633</v>
      </c>
      <c r="C82">
        <f t="shared" si="4"/>
        <v>-0.52343765303942535</v>
      </c>
      <c r="D82">
        <f t="shared" si="5"/>
        <v>-0.85206397845500914</v>
      </c>
    </row>
    <row r="83" spans="1:4" x14ac:dyDescent="0.3">
      <c r="A83">
        <v>83</v>
      </c>
      <c r="B83">
        <f t="shared" si="3"/>
        <v>-2.1090852484019607</v>
      </c>
      <c r="C83">
        <f t="shared" si="4"/>
        <v>-0.51266763293640294</v>
      </c>
      <c r="D83">
        <f t="shared" si="5"/>
        <v>-0.85858715232606742</v>
      </c>
    </row>
    <row r="84" spans="1:4" x14ac:dyDescent="0.3">
      <c r="A84">
        <v>84</v>
      </c>
      <c r="B84">
        <f t="shared" si="3"/>
        <v>-2.0964936946801576</v>
      </c>
      <c r="C84">
        <f t="shared" si="4"/>
        <v>-0.50181633187667907</v>
      </c>
      <c r="D84">
        <f t="shared" si="5"/>
        <v>-0.86497420138512493</v>
      </c>
    </row>
    <row r="85" spans="1:4" x14ac:dyDescent="0.3">
      <c r="A85">
        <v>85</v>
      </c>
      <c r="B85">
        <f t="shared" si="3"/>
        <v>-2.0839021409583549</v>
      </c>
      <c r="C85">
        <f t="shared" si="4"/>
        <v>-0.4908854702811955</v>
      </c>
      <c r="D85">
        <f t="shared" si="5"/>
        <v>-0.8712241129966557</v>
      </c>
    </row>
    <row r="86" spans="1:4" x14ac:dyDescent="0.3">
      <c r="A86">
        <v>86</v>
      </c>
      <c r="B86">
        <f t="shared" si="3"/>
        <v>-2.0713105872365523</v>
      </c>
      <c r="C86">
        <f t="shared" si="4"/>
        <v>-0.47987678118482874</v>
      </c>
      <c r="D86">
        <f t="shared" si="5"/>
        <v>-0.87733589626760855</v>
      </c>
    </row>
    <row r="87" spans="1:4" x14ac:dyDescent="0.3">
      <c r="A87">
        <v>87</v>
      </c>
      <c r="B87">
        <f t="shared" si="3"/>
        <v>-2.0587190335147492</v>
      </c>
      <c r="C87">
        <f t="shared" si="4"/>
        <v>-0.4687920099616264</v>
      </c>
      <c r="D87">
        <f t="shared" si="5"/>
        <v>-0.88330858220450814</v>
      </c>
    </row>
    <row r="88" spans="1:4" x14ac:dyDescent="0.3">
      <c r="A88">
        <v>88</v>
      </c>
      <c r="B88">
        <f t="shared" si="3"/>
        <v>-2.0461274797929465</v>
      </c>
      <c r="C88">
        <f t="shared" si="4"/>
        <v>-0.45763291404808787</v>
      </c>
      <c r="D88">
        <f t="shared" si="5"/>
        <v>-0.88914122386708372</v>
      </c>
    </row>
    <row r="89" spans="1:4" x14ac:dyDescent="0.3">
      <c r="A89">
        <v>89</v>
      </c>
      <c r="B89">
        <f t="shared" si="3"/>
        <v>-2.0335359260711439</v>
      </c>
      <c r="C89">
        <f t="shared" si="4"/>
        <v>-0.44640126266452929</v>
      </c>
      <c r="D89">
        <f t="shared" si="5"/>
        <v>-0.89483289651840248</v>
      </c>
    </row>
    <row r="90" spans="1:4" x14ac:dyDescent="0.3">
      <c r="A90">
        <v>90</v>
      </c>
      <c r="B90">
        <f t="shared" si="3"/>
        <v>-2.0209443723493408</v>
      </c>
      <c r="C90">
        <f t="shared" si="4"/>
        <v>-0.43509883653458314</v>
      </c>
      <c r="D90">
        <f t="shared" si="5"/>
        <v>-0.90038269777148217</v>
      </c>
    </row>
    <row r="91" spans="1:4" x14ac:dyDescent="0.3">
      <c r="A91">
        <v>91</v>
      </c>
      <c r="B91">
        <f t="shared" si="3"/>
        <v>-2.0083528186275381</v>
      </c>
      <c r="C91">
        <f t="shared" si="4"/>
        <v>-0.42372742760287452</v>
      </c>
      <c r="D91">
        <f t="shared" si="5"/>
        <v>-0.9057897477323591</v>
      </c>
    </row>
    <row r="92" spans="1:4" x14ac:dyDescent="0.3">
      <c r="A92">
        <v>92</v>
      </c>
      <c r="B92">
        <f t="shared" si="3"/>
        <v>-1.9957612649057352</v>
      </c>
      <c r="C92">
        <f t="shared" si="4"/>
        <v>-0.41228883875091432</v>
      </c>
      <c r="D92">
        <f t="shared" si="5"/>
        <v>-0.91105318913959277</v>
      </c>
    </row>
    <row r="93" spans="1:4" x14ac:dyDescent="0.3">
      <c r="A93">
        <v>93</v>
      </c>
      <c r="B93">
        <f t="shared" si="3"/>
        <v>-1.9831697111839324</v>
      </c>
      <c r="C93">
        <f t="shared" si="4"/>
        <v>-0.40078488351126368</v>
      </c>
      <c r="D93">
        <f t="shared" si="5"/>
        <v>-0.91617218750017881</v>
      </c>
    </row>
    <row r="94" spans="1:4" x14ac:dyDescent="0.3">
      <c r="A94">
        <v>94</v>
      </c>
      <c r="B94">
        <f t="shared" si="3"/>
        <v>-1.9705781574621297</v>
      </c>
      <c r="C94">
        <f t="shared" si="4"/>
        <v>-0.38921738578000598</v>
      </c>
      <c r="D94">
        <f t="shared" si="5"/>
        <v>-0.92114593122185473</v>
      </c>
    </row>
    <row r="95" spans="1:4" x14ac:dyDescent="0.3">
      <c r="A95">
        <v>95</v>
      </c>
      <c r="B95">
        <f t="shared" si="3"/>
        <v>-1.9579866037403268</v>
      </c>
      <c r="C95">
        <f t="shared" si="4"/>
        <v>-0.37758817952757667</v>
      </c>
      <c r="D95">
        <f t="shared" si="5"/>
        <v>-0.92597363174177405</v>
      </c>
    </row>
    <row r="96" spans="1:4" x14ac:dyDescent="0.3">
      <c r="A96">
        <v>96</v>
      </c>
      <c r="B96">
        <f t="shared" si="3"/>
        <v>-1.945395050018524</v>
      </c>
      <c r="C96">
        <f t="shared" si="4"/>
        <v>-0.36589910850799745</v>
      </c>
      <c r="D96">
        <f t="shared" si="5"/>
        <v>-0.93065452365152812</v>
      </c>
    </row>
    <row r="97" spans="1:4" x14ac:dyDescent="0.3">
      <c r="A97">
        <v>97</v>
      </c>
      <c r="B97">
        <f t="shared" si="3"/>
        <v>-1.9328034962967213</v>
      </c>
      <c r="C97">
        <f t="shared" si="4"/>
        <v>-0.3541520259665572</v>
      </c>
      <c r="D97">
        <f t="shared" si="5"/>
        <v>-0.93518786481849892</v>
      </c>
    </row>
    <row r="98" spans="1:4" x14ac:dyDescent="0.3">
      <c r="A98">
        <v>98</v>
      </c>
      <c r="B98">
        <f t="shared" si="3"/>
        <v>-1.9202119425749185</v>
      </c>
      <c r="C98">
        <f t="shared" si="4"/>
        <v>-0.34234879434598847</v>
      </c>
      <c r="D98">
        <f t="shared" si="5"/>
        <v>-0.93957293650352025</v>
      </c>
    </row>
    <row r="99" spans="1:4" x14ac:dyDescent="0.3">
      <c r="A99">
        <v>99</v>
      </c>
      <c r="B99">
        <f t="shared" si="3"/>
        <v>-1.9076203888531156</v>
      </c>
      <c r="C99">
        <f t="shared" si="4"/>
        <v>-0.33049128499118763</v>
      </c>
      <c r="D99">
        <f t="shared" si="5"/>
        <v>-0.94380904347483008</v>
      </c>
    </row>
    <row r="100" spans="1:4" x14ac:dyDescent="0.3">
      <c r="A100">
        <v>100</v>
      </c>
      <c r="B100">
        <f t="shared" si="3"/>
        <v>-1.8950288351313127</v>
      </c>
      <c r="C100">
        <f t="shared" si="4"/>
        <v>-0.31858137785252122</v>
      </c>
      <c r="D100">
        <f t="shared" si="5"/>
        <v>-0.9478955141182962</v>
      </c>
    </row>
    <row r="101" spans="1:4" x14ac:dyDescent="0.3">
      <c r="A101">
        <v>101</v>
      </c>
      <c r="B101">
        <f t="shared" si="3"/>
        <v>-1.8824372814095101</v>
      </c>
      <c r="C101">
        <f t="shared" si="4"/>
        <v>-0.30662096118776938</v>
      </c>
      <c r="D101">
        <f t="shared" si="5"/>
        <v>-0.95183170054389787</v>
      </c>
    </row>
    <row r="102" spans="1:4" x14ac:dyDescent="0.3">
      <c r="A102">
        <v>102</v>
      </c>
      <c r="B102">
        <f t="shared" si="3"/>
        <v>-1.8698457276877072</v>
      </c>
      <c r="C102">
        <f t="shared" si="4"/>
        <v>-0.2946119312627512</v>
      </c>
      <c r="D102">
        <f t="shared" si="5"/>
        <v>-0.95561697868844497</v>
      </c>
    </row>
    <row r="103" spans="1:4" x14ac:dyDescent="0.3">
      <c r="A103">
        <v>103</v>
      </c>
      <c r="B103">
        <f t="shared" si="3"/>
        <v>-1.8572541739659043</v>
      </c>
      <c r="C103">
        <f t="shared" si="4"/>
        <v>-0.28255619205068194</v>
      </c>
      <c r="D103">
        <f t="shared" si="5"/>
        <v>-0.95925074841452074</v>
      </c>
    </row>
    <row r="104" spans="1:4" x14ac:dyDescent="0.3">
      <c r="A104">
        <v>104</v>
      </c>
      <c r="B104">
        <f t="shared" si="3"/>
        <v>-1.8446626202441017</v>
      </c>
      <c r="C104">
        <f t="shared" si="4"/>
        <v>-0.27045565493030693</v>
      </c>
      <c r="D104">
        <f t="shared" si="5"/>
        <v>-0.96273243360562999</v>
      </c>
    </row>
    <row r="105" spans="1:4" x14ac:dyDescent="0.3">
      <c r="A105">
        <v>105</v>
      </c>
      <c r="B105">
        <f t="shared" si="3"/>
        <v>-1.8320710665222988</v>
      </c>
      <c r="C105">
        <f t="shared" si="4"/>
        <v>-0.25831223838286105</v>
      </c>
      <c r="D105">
        <f t="shared" si="5"/>
        <v>-0.9660614822575404</v>
      </c>
    </row>
    <row r="106" spans="1:4" x14ac:dyDescent="0.3">
      <c r="A106">
        <v>106</v>
      </c>
      <c r="B106">
        <f t="shared" si="3"/>
        <v>-1.8194795128004959</v>
      </c>
      <c r="C106">
        <f t="shared" si="4"/>
        <v>-0.24612786768790421</v>
      </c>
      <c r="D106">
        <f t="shared" si="5"/>
        <v>-0.96923736656579929</v>
      </c>
    </row>
    <row r="107" spans="1:4" x14ac:dyDescent="0.3">
      <c r="A107">
        <v>107</v>
      </c>
      <c r="B107">
        <f t="shared" si="3"/>
        <v>-1.8068879590786933</v>
      </c>
      <c r="C107">
        <f t="shared" si="4"/>
        <v>-0.2339044746180769</v>
      </c>
      <c r="D107">
        <f t="shared" si="5"/>
        <v>-0.97225958300941495</v>
      </c>
    </row>
    <row r="108" spans="1:4" x14ac:dyDescent="0.3">
      <c r="A108">
        <v>108</v>
      </c>
      <c r="B108">
        <f t="shared" si="3"/>
        <v>-1.7942964053568904</v>
      </c>
      <c r="C108">
        <f t="shared" si="4"/>
        <v>-0.22164399713282656</v>
      </c>
      <c r="D108">
        <f t="shared" si="5"/>
        <v>-0.97512765243068744</v>
      </c>
    </row>
    <row r="109" spans="1:4" x14ac:dyDescent="0.3">
      <c r="A109">
        <v>109</v>
      </c>
      <c r="B109">
        <f t="shared" si="3"/>
        <v>-1.7817048516350875</v>
      </c>
      <c r="C109">
        <f t="shared" si="4"/>
        <v>-0.20934837907115472</v>
      </c>
      <c r="D109">
        <f t="shared" si="5"/>
        <v>-0.97784112011117641</v>
      </c>
    </row>
    <row r="110" spans="1:4" x14ac:dyDescent="0.3">
      <c r="A110">
        <v>110</v>
      </c>
      <c r="B110">
        <f t="shared" si="3"/>
        <v>-1.7691132979132849</v>
      </c>
      <c r="C110">
        <f t="shared" si="4"/>
        <v>-0.19701956984343019</v>
      </c>
      <c r="D110">
        <f t="shared" si="5"/>
        <v>-0.98039955584379457</v>
      </c>
    </row>
    <row r="111" spans="1:4" x14ac:dyDescent="0.3">
      <c r="A111">
        <v>111</v>
      </c>
      <c r="B111">
        <f t="shared" si="3"/>
        <v>-1.756521744191482</v>
      </c>
      <c r="C111">
        <f t="shared" si="4"/>
        <v>-0.18465952412231887</v>
      </c>
      <c r="D111">
        <f t="shared" si="5"/>
        <v>-0.98280255400101535</v>
      </c>
    </row>
    <row r="112" spans="1:4" x14ac:dyDescent="0.3">
      <c r="A112">
        <v>112</v>
      </c>
      <c r="B112">
        <f t="shared" si="3"/>
        <v>-1.7439301904696791</v>
      </c>
      <c r="C112">
        <f t="shared" si="4"/>
        <v>-0.17227020153288122</v>
      </c>
      <c r="D112">
        <f t="shared" si="5"/>
        <v>-0.98504973359918258</v>
      </c>
    </row>
    <row r="113" spans="1:4" x14ac:dyDescent="0.3">
      <c r="A113">
        <v>113</v>
      </c>
      <c r="B113">
        <f t="shared" si="3"/>
        <v>-1.7313386367478765</v>
      </c>
      <c r="C113">
        <f t="shared" si="4"/>
        <v>-0.15985356634188264</v>
      </c>
      <c r="D113">
        <f t="shared" si="5"/>
        <v>-0.98714073835891369</v>
      </c>
    </row>
    <row r="114" spans="1:4" x14ac:dyDescent="0.3">
      <c r="A114">
        <v>114</v>
      </c>
      <c r="B114">
        <f t="shared" si="3"/>
        <v>-1.7187470830260736</v>
      </c>
      <c r="C114">
        <f t="shared" si="4"/>
        <v>-0.14741158714636779</v>
      </c>
      <c r="D114">
        <f t="shared" si="5"/>
        <v>-0.98907523676158671</v>
      </c>
    </row>
    <row r="115" spans="1:4" x14ac:dyDescent="0.3">
      <c r="A115">
        <v>115</v>
      </c>
      <c r="B115">
        <f t="shared" si="3"/>
        <v>-1.7061555293042707</v>
      </c>
      <c r="C115">
        <f t="shared" si="4"/>
        <v>-0.13494623656155053</v>
      </c>
      <c r="D115">
        <f t="shared" si="5"/>
        <v>-0.99085292210190001</v>
      </c>
    </row>
    <row r="116" spans="1:4" x14ac:dyDescent="0.3">
      <c r="A116">
        <v>116</v>
      </c>
      <c r="B116">
        <f t="shared" si="3"/>
        <v>-1.6935639755824681</v>
      </c>
      <c r="C116">
        <f t="shared" si="4"/>
        <v>-0.1224594909080647</v>
      </c>
      <c r="D116">
        <f t="shared" si="5"/>
        <v>-0.99247351253649974</v>
      </c>
    </row>
    <row r="117" spans="1:4" x14ac:dyDescent="0.3">
      <c r="A117">
        <v>117</v>
      </c>
      <c r="B117">
        <f t="shared" si="3"/>
        <v>-1.6809724218606652</v>
      </c>
      <c r="C117">
        <f t="shared" si="4"/>
        <v>-0.1099533298986274</v>
      </c>
      <c r="D117">
        <f t="shared" si="5"/>
        <v>-0.99393675112866398</v>
      </c>
    </row>
    <row r="118" spans="1:4" x14ac:dyDescent="0.3">
      <c r="A118">
        <v>118</v>
      </c>
      <c r="B118">
        <f t="shared" si="3"/>
        <v>-1.6683808681388623</v>
      </c>
      <c r="C118">
        <f t="shared" si="4"/>
        <v>-9.7429736324166516E-2</v>
      </c>
      <c r="D118">
        <f t="shared" si="5"/>
        <v>-0.99524240588903934</v>
      </c>
    </row>
    <row r="119" spans="1:4" x14ac:dyDescent="0.3">
      <c r="A119">
        <v>119</v>
      </c>
      <c r="B119">
        <f t="shared" si="3"/>
        <v>-1.6557893144170597</v>
      </c>
      <c r="C119">
        <f t="shared" si="4"/>
        <v>-8.4890695739458288E-2</v>
      </c>
      <c r="D119">
        <f t="shared" si="5"/>
        <v>-0.99639026981242185</v>
      </c>
    </row>
    <row r="120" spans="1:4" x14ac:dyDescent="0.3">
      <c r="A120">
        <v>120</v>
      </c>
      <c r="B120">
        <f t="shared" si="3"/>
        <v>-1.6431977606952568</v>
      </c>
      <c r="C120">
        <f t="shared" si="4"/>
        <v>-7.2338196148326483E-2</v>
      </c>
      <c r="D120">
        <f t="shared" si="5"/>
        <v>-0.99738016091057591</v>
      </c>
    </row>
    <row r="121" spans="1:4" x14ac:dyDescent="0.3">
      <c r="A121">
        <v>121</v>
      </c>
      <c r="B121">
        <f t="shared" si="3"/>
        <v>-1.6306062069734539</v>
      </c>
      <c r="C121">
        <f t="shared" si="4"/>
        <v>-5.9774227688455507E-2</v>
      </c>
      <c r="D121">
        <f t="shared" si="5"/>
        <v>-0.99821192224108835</v>
      </c>
    </row>
    <row r="122" spans="1:4" x14ac:dyDescent="0.3">
      <c r="A122">
        <v>122</v>
      </c>
      <c r="B122">
        <f t="shared" si="3"/>
        <v>-1.6180146532516513</v>
      </c>
      <c r="C122">
        <f t="shared" si="4"/>
        <v>-4.720078231586302E-2</v>
      </c>
      <c r="D122">
        <f t="shared" si="5"/>
        <v>-0.99888542193225072</v>
      </c>
    </row>
    <row r="123" spans="1:4" x14ac:dyDescent="0.3">
      <c r="A123">
        <v>123</v>
      </c>
      <c r="B123">
        <f t="shared" si="3"/>
        <v>-1.6054230995298484</v>
      </c>
      <c r="C123">
        <f t="shared" si="4"/>
        <v>-3.4619853489084404E-2</v>
      </c>
      <c r="D123">
        <f t="shared" si="5"/>
        <v>-0.99940055320396648</v>
      </c>
    </row>
    <row r="124" spans="1:4" x14ac:dyDescent="0.3">
      <c r="A124">
        <v>124</v>
      </c>
      <c r="B124">
        <f t="shared" si="3"/>
        <v>-1.5928315458080455</v>
      </c>
      <c r="C124">
        <f t="shared" si="4"/>
        <v>-2.2033435853120915E-2</v>
      </c>
      <c r="D124">
        <f t="shared" si="5"/>
        <v>-0.99975723438468123</v>
      </c>
    </row>
    <row r="125" spans="1:4" x14ac:dyDescent="0.3">
      <c r="A125">
        <v>125</v>
      </c>
      <c r="B125">
        <f t="shared" si="3"/>
        <v>-1.5802399920862429</v>
      </c>
      <c r="C125">
        <f t="shared" si="4"/>
        <v>-9.4435249231977821E-3</v>
      </c>
      <c r="D125">
        <f t="shared" si="5"/>
        <v>-0.99995540892433044</v>
      </c>
    </row>
    <row r="126" spans="1:4" x14ac:dyDescent="0.3">
      <c r="A126">
        <v>126</v>
      </c>
      <c r="B126">
        <f t="shared" si="3"/>
        <v>-1.56764843836444</v>
      </c>
      <c r="C126">
        <f t="shared" si="4"/>
        <v>3.1478832316156873E-3</v>
      </c>
      <c r="D126">
        <f t="shared" si="5"/>
        <v>-0.99999504540330608</v>
      </c>
    </row>
    <row r="127" spans="1:4" x14ac:dyDescent="0.3">
      <c r="A127">
        <v>127</v>
      </c>
      <c r="B127">
        <f t="shared" si="3"/>
        <v>-1.5550568846426371</v>
      </c>
      <c r="C127">
        <f t="shared" si="4"/>
        <v>1.5738792304871806E-2</v>
      </c>
      <c r="D127">
        <f t="shared" si="5"/>
        <v>-0.9998761375374372</v>
      </c>
    </row>
    <row r="128" spans="1:4" x14ac:dyDescent="0.3">
      <c r="A128">
        <v>128</v>
      </c>
      <c r="B128">
        <f t="shared" si="3"/>
        <v>-1.5424653309208345</v>
      </c>
      <c r="C128">
        <f t="shared" si="4"/>
        <v>2.8327206069249836E-2</v>
      </c>
      <c r="D128">
        <f t="shared" si="5"/>
        <v>-0.99959870417898711</v>
      </c>
    </row>
    <row r="129" spans="1:4" x14ac:dyDescent="0.3">
      <c r="A129">
        <v>129</v>
      </c>
      <c r="B129">
        <f t="shared" ref="B129:B192" si="6">-3.14159265358979+(A129-1)*0.0125915537218028</f>
        <v>-1.5298737771990316</v>
      </c>
      <c r="C129">
        <f t="shared" ref="C129:C192" si="7">1*COS(B129)+0</f>
        <v>4.0911128693048776E-2</v>
      </c>
      <c r="D129">
        <f t="shared" ref="D129:D192" si="8">1*SIN(B129)+0+0*COS(B129)</f>
        <v>-0.99916278931366376</v>
      </c>
    </row>
    <row r="130" spans="1:4" x14ac:dyDescent="0.3">
      <c r="A130">
        <v>130</v>
      </c>
      <c r="B130">
        <f t="shared" si="6"/>
        <v>-1.5172822234772287</v>
      </c>
      <c r="C130">
        <f t="shared" si="7"/>
        <v>5.3488565056615429E-2</v>
      </c>
      <c r="D130">
        <f t="shared" si="8"/>
        <v>-0.99856846205364613</v>
      </c>
    </row>
    <row r="131" spans="1:4" x14ac:dyDescent="0.3">
      <c r="A131">
        <v>131</v>
      </c>
      <c r="B131">
        <f t="shared" si="6"/>
        <v>-1.5046906697554261</v>
      </c>
      <c r="C131">
        <f t="shared" si="7"/>
        <v>6.605752106866157E-2</v>
      </c>
      <c r="D131">
        <f t="shared" si="8"/>
        <v>-0.99781581662662744</v>
      </c>
    </row>
    <row r="132" spans="1:4" x14ac:dyDescent="0.3">
      <c r="A132">
        <v>132</v>
      </c>
      <c r="B132">
        <f t="shared" si="6"/>
        <v>-1.4920991160336232</v>
      </c>
      <c r="C132">
        <f t="shared" si="7"/>
        <v>7.8616003982418081E-2</v>
      </c>
      <c r="D132">
        <f t="shared" si="8"/>
        <v>-0.99690497236087472</v>
      </c>
    </row>
    <row r="133" spans="1:4" x14ac:dyDescent="0.3">
      <c r="A133">
        <v>133</v>
      </c>
      <c r="B133">
        <f t="shared" si="6"/>
        <v>-1.4795075623118203</v>
      </c>
      <c r="C133">
        <f t="shared" si="7"/>
        <v>9.1162022711573906E-2</v>
      </c>
      <c r="D133">
        <f t="shared" si="8"/>
        <v>-0.99583607366631099</v>
      </c>
    </row>
    <row r="134" spans="1:4" x14ac:dyDescent="0.3">
      <c r="A134">
        <v>134</v>
      </c>
      <c r="B134">
        <f t="shared" si="6"/>
        <v>-1.4669160085900177</v>
      </c>
      <c r="C134">
        <f t="shared" si="7"/>
        <v>0.10369358814595377</v>
      </c>
      <c r="D134">
        <f t="shared" si="8"/>
        <v>-0.99460929001161924</v>
      </c>
    </row>
    <row r="135" spans="1:4" x14ac:dyDescent="0.3">
      <c r="A135">
        <v>135</v>
      </c>
      <c r="B135">
        <f t="shared" si="6"/>
        <v>-1.4543244548682148</v>
      </c>
      <c r="C135">
        <f t="shared" si="7"/>
        <v>0.11620871346688255</v>
      </c>
      <c r="D135">
        <f t="shared" si="8"/>
        <v>-0.99322481589737377</v>
      </c>
    </row>
    <row r="136" spans="1:4" x14ac:dyDescent="0.3">
      <c r="A136">
        <v>136</v>
      </c>
      <c r="B136">
        <f t="shared" si="6"/>
        <v>-1.4417329011464119</v>
      </c>
      <c r="C136">
        <f t="shared" si="7"/>
        <v>0.12870541446218442</v>
      </c>
      <c r="D136">
        <f t="shared" si="8"/>
        <v>-0.99168287082520357</v>
      </c>
    </row>
    <row r="137" spans="1:4" x14ac:dyDescent="0.3">
      <c r="A137">
        <v>137</v>
      </c>
      <c r="B137">
        <f t="shared" si="6"/>
        <v>-1.4291413474246093</v>
      </c>
      <c r="C137">
        <f t="shared" si="7"/>
        <v>0.14118170984077064</v>
      </c>
      <c r="D137">
        <f t="shared" si="8"/>
        <v>-0.98998369926299112</v>
      </c>
    </row>
    <row r="138" spans="1:4" x14ac:dyDescent="0.3">
      <c r="A138">
        <v>138</v>
      </c>
      <c r="B138">
        <f t="shared" si="6"/>
        <v>-1.4165497937028064</v>
      </c>
      <c r="C138">
        <f t="shared" si="7"/>
        <v>0.1536356215467643</v>
      </c>
      <c r="D138">
        <f t="shared" si="8"/>
        <v>-0.98812757060611334</v>
      </c>
    </row>
    <row r="139" spans="1:4" x14ac:dyDescent="0.3">
      <c r="A139">
        <v>139</v>
      </c>
      <c r="B139">
        <f t="shared" si="6"/>
        <v>-1.4039582399810036</v>
      </c>
      <c r="C139">
        <f t="shared" si="7"/>
        <v>0.16606517507311008</v>
      </c>
      <c r="D139">
        <f t="shared" si="8"/>
        <v>-0.98611477913473</v>
      </c>
    </row>
    <row r="140" spans="1:4" x14ac:dyDescent="0.3">
      <c r="A140">
        <v>140</v>
      </c>
      <c r="B140">
        <f t="shared" si="6"/>
        <v>-1.3913666862592009</v>
      </c>
      <c r="C140">
        <f t="shared" si="7"/>
        <v>0.17846839977462353</v>
      </c>
      <c r="D140">
        <f t="shared" si="8"/>
        <v>-0.98394564396712747</v>
      </c>
    </row>
    <row r="141" spans="1:4" x14ac:dyDescent="0.3">
      <c r="A141">
        <v>141</v>
      </c>
      <c r="B141">
        <f t="shared" si="6"/>
        <v>-1.378775132537398</v>
      </c>
      <c r="C141">
        <f t="shared" si="7"/>
        <v>0.19084332918042771</v>
      </c>
      <c r="D141">
        <f t="shared" si="8"/>
        <v>-0.98162050900912357</v>
      </c>
    </row>
    <row r="142" spans="1:4" x14ac:dyDescent="0.3">
      <c r="A142">
        <v>142</v>
      </c>
      <c r="B142">
        <f t="shared" si="6"/>
        <v>-1.3661835788155952</v>
      </c>
      <c r="C142">
        <f t="shared" si="7"/>
        <v>0.20318800130572645</v>
      </c>
      <c r="D142">
        <f t="shared" si="8"/>
        <v>-0.97913974289954353</v>
      </c>
    </row>
    <row r="143" spans="1:4" x14ac:dyDescent="0.3">
      <c r="A143">
        <v>143</v>
      </c>
      <c r="B143">
        <f t="shared" si="6"/>
        <v>-1.3535920250937925</v>
      </c>
      <c r="C143">
        <f t="shared" si="7"/>
        <v>0.21550045896286801</v>
      </c>
      <c r="D143">
        <f t="shared" si="8"/>
        <v>-0.97650373895177345</v>
      </c>
    </row>
    <row r="144" spans="1:4" x14ac:dyDescent="0.3">
      <c r="A144">
        <v>144</v>
      </c>
      <c r="B144">
        <f t="shared" si="6"/>
        <v>-1.3410004713719896</v>
      </c>
      <c r="C144">
        <f t="shared" si="7"/>
        <v>0.22777875007164838</v>
      </c>
      <c r="D144">
        <f t="shared" si="8"/>
        <v>-0.9737129150914029</v>
      </c>
    </row>
    <row r="145" spans="1:4" x14ac:dyDescent="0.3">
      <c r="A145">
        <v>145</v>
      </c>
      <c r="B145">
        <f t="shared" si="6"/>
        <v>-1.3284089176501868</v>
      </c>
      <c r="C145">
        <f t="shared" si="7"/>
        <v>0.24002092796880276</v>
      </c>
      <c r="D145">
        <f t="shared" si="8"/>
        <v>-0.97076771378996474</v>
      </c>
    </row>
    <row r="146" spans="1:4" x14ac:dyDescent="0.3">
      <c r="A146">
        <v>146</v>
      </c>
      <c r="B146">
        <f t="shared" si="6"/>
        <v>-1.3158173639283841</v>
      </c>
      <c r="C146">
        <f t="shared" si="7"/>
        <v>0.25222505171664023</v>
      </c>
      <c r="D146">
        <f t="shared" si="8"/>
        <v>-0.96766860199478322</v>
      </c>
    </row>
    <row r="147" spans="1:4" x14ac:dyDescent="0.3">
      <c r="A147">
        <v>147</v>
      </c>
      <c r="B147">
        <f t="shared" si="6"/>
        <v>-1.3032258102065812</v>
      </c>
      <c r="C147">
        <f t="shared" si="7"/>
        <v>0.26438918641077053</v>
      </c>
      <c r="D147">
        <f t="shared" si="8"/>
        <v>-0.96441607105494198</v>
      </c>
    </row>
    <row r="148" spans="1:4" x14ac:dyDescent="0.3">
      <c r="A148">
        <v>148</v>
      </c>
      <c r="B148">
        <f t="shared" si="6"/>
        <v>-1.2906342564847784</v>
      </c>
      <c r="C148">
        <f t="shared" si="7"/>
        <v>0.27651140348687248</v>
      </c>
      <c r="D148">
        <f t="shared" si="8"/>
        <v>-0.96101063664338282</v>
      </c>
    </row>
    <row r="149" spans="1:4" x14ac:dyDescent="0.3">
      <c r="A149">
        <v>149</v>
      </c>
      <c r="B149">
        <f t="shared" si="6"/>
        <v>-1.2780427027629757</v>
      </c>
      <c r="C149">
        <f t="shared" si="7"/>
        <v>0.28858978102645916</v>
      </c>
      <c r="D149">
        <f t="shared" si="8"/>
        <v>-0.95745283867514874</v>
      </c>
    </row>
    <row r="150" spans="1:4" x14ac:dyDescent="0.3">
      <c r="A150">
        <v>150</v>
      </c>
      <c r="B150">
        <f t="shared" si="6"/>
        <v>-1.2654511490411728</v>
      </c>
      <c r="C150">
        <f t="shared" si="7"/>
        <v>0.3006224040615893</v>
      </c>
      <c r="D150">
        <f t="shared" si="8"/>
        <v>-0.95374324122178211</v>
      </c>
    </row>
    <row r="151" spans="1:4" x14ac:dyDescent="0.3">
      <c r="A151">
        <v>151</v>
      </c>
      <c r="B151">
        <f t="shared" si="6"/>
        <v>-1.25285959531937</v>
      </c>
      <c r="C151">
        <f t="shared" si="7"/>
        <v>0.3126073648784749</v>
      </c>
      <c r="D151">
        <f t="shared" si="8"/>
        <v>-0.94988243242189507</v>
      </c>
    </row>
    <row r="152" spans="1:4" x14ac:dyDescent="0.3">
      <c r="A152">
        <v>152</v>
      </c>
      <c r="B152">
        <f t="shared" si="6"/>
        <v>-1.2402680415975673</v>
      </c>
      <c r="C152">
        <f t="shared" si="7"/>
        <v>0.32454276331994053</v>
      </c>
      <c r="D152">
        <f t="shared" si="8"/>
        <v>-0.94587102438792203</v>
      </c>
    </row>
    <row r="153" spans="1:4" x14ac:dyDescent="0.3">
      <c r="A153">
        <v>153</v>
      </c>
      <c r="B153">
        <f t="shared" si="6"/>
        <v>-1.2276764878757644</v>
      </c>
      <c r="C153">
        <f t="shared" si="7"/>
        <v>0.33642670708668465</v>
      </c>
      <c r="D153">
        <f t="shared" si="8"/>
        <v>-0.94170965310907273</v>
      </c>
    </row>
    <row r="154" spans="1:4" x14ac:dyDescent="0.3">
      <c r="A154">
        <v>154</v>
      </c>
      <c r="B154">
        <f t="shared" si="6"/>
        <v>-1.2150849341539616</v>
      </c>
      <c r="C154">
        <f t="shared" si="7"/>
        <v>0.34825731203729327</v>
      </c>
      <c r="D154">
        <f t="shared" si="8"/>
        <v>-0.93739897835049901</v>
      </c>
    </row>
    <row r="155" spans="1:4" x14ac:dyDescent="0.3">
      <c r="A155">
        <v>155</v>
      </c>
      <c r="B155">
        <f t="shared" si="6"/>
        <v>-1.2024933804321589</v>
      </c>
      <c r="C155">
        <f t="shared" si="7"/>
        <v>0.36003270248696184</v>
      </c>
      <c r="D155">
        <f t="shared" si="8"/>
        <v>-0.93293968354869272</v>
      </c>
    </row>
    <row r="156" spans="1:4" x14ac:dyDescent="0.3">
      <c r="A156">
        <v>156</v>
      </c>
      <c r="B156">
        <f t="shared" si="6"/>
        <v>-1.189901826710356</v>
      </c>
      <c r="C156">
        <f t="shared" si="7"/>
        <v>0.37175101150487677</v>
      </c>
      <c r="D156">
        <f t="shared" si="8"/>
        <v>-0.92833247570312916</v>
      </c>
    </row>
    <row r="157" spans="1:4" x14ac:dyDescent="0.3">
      <c r="A157">
        <v>157</v>
      </c>
      <c r="B157">
        <f t="shared" si="6"/>
        <v>-1.1773102729885532</v>
      </c>
      <c r="C157">
        <f t="shared" si="7"/>
        <v>0.38341038121020693</v>
      </c>
      <c r="D157">
        <f t="shared" si="8"/>
        <v>-0.92357808526417717</v>
      </c>
    </row>
    <row r="158" spans="1:4" x14ac:dyDescent="0.3">
      <c r="A158">
        <v>158</v>
      </c>
      <c r="B158">
        <f t="shared" si="6"/>
        <v>-1.1647187192667505</v>
      </c>
      <c r="C158">
        <f t="shared" si="7"/>
        <v>0.39500896306666211</v>
      </c>
      <c r="D158">
        <f t="shared" si="8"/>
        <v>-0.91867726601728883</v>
      </c>
    </row>
    <row r="159" spans="1:4" x14ac:dyDescent="0.3">
      <c r="A159">
        <v>159</v>
      </c>
      <c r="B159">
        <f t="shared" si="6"/>
        <v>-1.1521271655449477</v>
      </c>
      <c r="C159">
        <f t="shared" si="7"/>
        <v>0.40654491817557015</v>
      </c>
      <c r="D159">
        <f t="shared" si="8"/>
        <v>-0.9136307949634902</v>
      </c>
    </row>
    <row r="160" spans="1:4" x14ac:dyDescent="0.3">
      <c r="A160">
        <v>160</v>
      </c>
      <c r="B160">
        <f t="shared" si="6"/>
        <v>-1.139535611823145</v>
      </c>
      <c r="C160">
        <f t="shared" si="7"/>
        <v>0.41801641756742391</v>
      </c>
      <c r="D160">
        <f t="shared" si="8"/>
        <v>-0.9084394721961927</v>
      </c>
    </row>
    <row r="161" spans="1:4" x14ac:dyDescent="0.3">
      <c r="A161">
        <v>161</v>
      </c>
      <c r="B161">
        <f t="shared" si="6"/>
        <v>-1.1269440581013419</v>
      </c>
      <c r="C161">
        <f t="shared" si="7"/>
        <v>0.42942164249185744</v>
      </c>
      <c r="D161">
        <f t="shared" si="8"/>
        <v>-0.90310412077434099</v>
      </c>
    </row>
    <row r="162" spans="1:4" x14ac:dyDescent="0.3">
      <c r="A162">
        <v>162</v>
      </c>
      <c r="B162">
        <f t="shared" si="6"/>
        <v>-1.1143525043795393</v>
      </c>
      <c r="C162">
        <f t="shared" si="7"/>
        <v>0.44075878470599728</v>
      </c>
      <c r="D162">
        <f t="shared" si="8"/>
        <v>-0.89762558659192215</v>
      </c>
    </row>
    <row r="163" spans="1:4" x14ac:dyDescent="0.3">
      <c r="A163">
        <v>163</v>
      </c>
      <c r="B163">
        <f t="shared" si="6"/>
        <v>-1.1017609506577366</v>
      </c>
      <c r="C163">
        <f t="shared" si="7"/>
        <v>0.45202604676115354</v>
      </c>
      <c r="D163">
        <f t="shared" si="8"/>
        <v>-0.89200473824385229</v>
      </c>
    </row>
    <row r="164" spans="1:4" x14ac:dyDescent="0.3">
      <c r="A164">
        <v>164</v>
      </c>
      <c r="B164">
        <f t="shared" si="6"/>
        <v>-1.0891693969359335</v>
      </c>
      <c r="C164">
        <f t="shared" si="7"/>
        <v>0.46322164228779505</v>
      </c>
      <c r="D164">
        <f t="shared" si="8"/>
        <v>-0.88624246688826536</v>
      </c>
    </row>
    <row r="165" spans="1:4" x14ac:dyDescent="0.3">
      <c r="A165">
        <v>165</v>
      </c>
      <c r="B165">
        <f t="shared" si="6"/>
        <v>-1.0765778432141309</v>
      </c>
      <c r="C165">
        <f t="shared" si="7"/>
        <v>0.47434379627876877</v>
      </c>
      <c r="D165">
        <f t="shared" si="8"/>
        <v>-0.88033968610522495</v>
      </c>
    </row>
    <row r="166" spans="1:4" x14ac:dyDescent="0.3">
      <c r="A166">
        <v>166</v>
      </c>
      <c r="B166">
        <f t="shared" si="6"/>
        <v>-1.0639862894923282</v>
      </c>
      <c r="C166">
        <f t="shared" si="7"/>
        <v>0.48539074537072052</v>
      </c>
      <c r="D166">
        <f t="shared" si="8"/>
        <v>-0.87429733175187974</v>
      </c>
    </row>
    <row r="167" spans="1:4" x14ac:dyDescent="0.3">
      <c r="A167">
        <v>167</v>
      </c>
      <c r="B167">
        <f t="shared" si="6"/>
        <v>-1.0513947357705251</v>
      </c>
      <c r="C167">
        <f t="shared" si="7"/>
        <v>0.49636073812366666</v>
      </c>
      <c r="D167">
        <f t="shared" si="8"/>
        <v>-0.86811636181408813</v>
      </c>
    </row>
    <row r="168" spans="1:4" x14ac:dyDescent="0.3">
      <c r="A168">
        <v>168</v>
      </c>
      <c r="B168">
        <f t="shared" si="6"/>
        <v>-1.0388031820487225</v>
      </c>
      <c r="C168">
        <f t="shared" si="7"/>
        <v>0.50725203529867535</v>
      </c>
      <c r="D168">
        <f t="shared" si="8"/>
        <v>-0.86179775625453536</v>
      </c>
    </row>
    <row r="169" spans="1:4" x14ac:dyDescent="0.3">
      <c r="A169">
        <v>169</v>
      </c>
      <c r="B169">
        <f t="shared" si="6"/>
        <v>-1.0262116283269198</v>
      </c>
      <c r="C169">
        <f t="shared" si="7"/>
        <v>0.51806291013361627</v>
      </c>
      <c r="D169">
        <f t="shared" si="8"/>
        <v>-0.85534251685736318</v>
      </c>
    </row>
    <row r="170" spans="1:4" x14ac:dyDescent="0.3">
      <c r="A170">
        <v>170</v>
      </c>
      <c r="B170">
        <f t="shared" si="6"/>
        <v>-1.0136200746051167</v>
      </c>
      <c r="C170">
        <f t="shared" si="7"/>
        <v>0.52879164861692984</v>
      </c>
      <c r="D170">
        <f t="shared" si="8"/>
        <v>-0.84875166706934335</v>
      </c>
    </row>
    <row r="171" spans="1:4" x14ac:dyDescent="0.3">
      <c r="A171">
        <v>171</v>
      </c>
      <c r="B171">
        <f t="shared" si="6"/>
        <v>-1.0010285208833141</v>
      </c>
      <c r="C171">
        <f t="shared" si="7"/>
        <v>0.53943654975937361</v>
      </c>
      <c r="D171">
        <f t="shared" si="8"/>
        <v>-0.84202625183761515</v>
      </c>
    </row>
    <row r="172" spans="1:4" x14ac:dyDescent="0.3">
      <c r="A172">
        <v>172</v>
      </c>
      <c r="B172">
        <f t="shared" si="6"/>
        <v>-0.98843696716151142</v>
      </c>
      <c r="C172">
        <f t="shared" si="7"/>
        <v>0.5499959258637086</v>
      </c>
      <c r="D172">
        <f t="shared" si="8"/>
        <v>-0.83516733744401306</v>
      </c>
    </row>
    <row r="173" spans="1:4" x14ac:dyDescent="0.3">
      <c r="A173">
        <v>173</v>
      </c>
      <c r="B173">
        <f t="shared" si="6"/>
        <v>-0.97584541343970832</v>
      </c>
      <c r="C173">
        <f t="shared" si="7"/>
        <v>0.5604681027922741</v>
      </c>
      <c r="D173">
        <f t="shared" si="8"/>
        <v>-0.8281760113360136</v>
      </c>
    </row>
    <row r="174" spans="1:4" x14ac:dyDescent="0.3">
      <c r="A174">
        <v>174</v>
      </c>
      <c r="B174">
        <f t="shared" si="6"/>
        <v>-0.96325385971790567</v>
      </c>
      <c r="C174">
        <f t="shared" si="7"/>
        <v>0.57085142023241298</v>
      </c>
      <c r="D174">
        <f t="shared" si="8"/>
        <v>-0.82105338195432642</v>
      </c>
    </row>
    <row r="175" spans="1:4" x14ac:dyDescent="0.3">
      <c r="A175">
        <v>175</v>
      </c>
      <c r="B175">
        <f t="shared" si="6"/>
        <v>-0.95066230599610302</v>
      </c>
      <c r="C175">
        <f t="shared" si="7"/>
        <v>0.58114423195970821</v>
      </c>
      <c r="D175">
        <f t="shared" si="8"/>
        <v>-0.81380057855715537</v>
      </c>
    </row>
    <row r="176" spans="1:4" x14ac:dyDescent="0.3">
      <c r="A176">
        <v>176</v>
      </c>
      <c r="B176">
        <f t="shared" si="6"/>
        <v>-0.93807075227429992</v>
      </c>
      <c r="C176">
        <f t="shared" si="7"/>
        <v>0.59134490609898305</v>
      </c>
      <c r="D176">
        <f t="shared" si="8"/>
        <v>-0.80641875104116034</v>
      </c>
    </row>
    <row r="177" spans="1:4" x14ac:dyDescent="0.3">
      <c r="A177">
        <v>177</v>
      </c>
      <c r="B177">
        <f t="shared" si="6"/>
        <v>-0.92547919855249727</v>
      </c>
      <c r="C177">
        <f t="shared" si="7"/>
        <v>0.60145182538302566</v>
      </c>
      <c r="D177">
        <f t="shared" si="8"/>
        <v>-0.79890906975914755</v>
      </c>
    </row>
    <row r="178" spans="1:4" x14ac:dyDescent="0.3">
      <c r="A178">
        <v>178</v>
      </c>
      <c r="B178">
        <f t="shared" si="6"/>
        <v>-0.91288764483069462</v>
      </c>
      <c r="C178">
        <f t="shared" si="7"/>
        <v>0.61146338740900052</v>
      </c>
      <c r="D178">
        <f t="shared" si="8"/>
        <v>-0.79127272533451476</v>
      </c>
    </row>
    <row r="179" spans="1:4" x14ac:dyDescent="0.3">
      <c r="A179">
        <v>179</v>
      </c>
      <c r="B179">
        <f t="shared" si="6"/>
        <v>-0.90029609110889153</v>
      </c>
      <c r="C179">
        <f t="shared" si="7"/>
        <v>0.62137800489250161</v>
      </c>
      <c r="D179">
        <f t="shared" si="8"/>
        <v>-0.78351092847248416</v>
      </c>
    </row>
    <row r="180" spans="1:4" x14ac:dyDescent="0.3">
      <c r="A180">
        <v>180</v>
      </c>
      <c r="B180">
        <f t="shared" si="6"/>
        <v>-0.88770453738708888</v>
      </c>
      <c r="C180">
        <f t="shared" si="7"/>
        <v>0.63119410591920666</v>
      </c>
      <c r="D180">
        <f t="shared" si="8"/>
        <v>-0.77562490976815157</v>
      </c>
    </row>
    <row r="181" spans="1:4" x14ac:dyDescent="0.3">
      <c r="A181">
        <v>181</v>
      </c>
      <c r="B181">
        <f t="shared" si="6"/>
        <v>-0.87511298366528623</v>
      </c>
      <c r="C181">
        <f t="shared" si="7"/>
        <v>0.64091013419409903</v>
      </c>
      <c r="D181">
        <f t="shared" si="8"/>
        <v>-0.76761591951138042</v>
      </c>
    </row>
    <row r="182" spans="1:4" x14ac:dyDescent="0.3">
      <c r="A182">
        <v>182</v>
      </c>
      <c r="B182">
        <f t="shared" si="6"/>
        <v>-0.86252142994348313</v>
      </c>
      <c r="C182">
        <f t="shared" si="7"/>
        <v>0.65052454928820946</v>
      </c>
      <c r="D182">
        <f t="shared" si="8"/>
        <v>-0.75948522748857461</v>
      </c>
    </row>
    <row r="183" spans="1:4" x14ac:dyDescent="0.3">
      <c r="A183">
        <v>183</v>
      </c>
      <c r="B183">
        <f t="shared" si="6"/>
        <v>-0.84992987622168048</v>
      </c>
      <c r="C183">
        <f t="shared" si="7"/>
        <v>0.66003582688284268</v>
      </c>
      <c r="D183">
        <f t="shared" si="8"/>
        <v>-0.75123412278136181</v>
      </c>
    </row>
    <row r="184" spans="1:4" x14ac:dyDescent="0.3">
      <c r="A184">
        <v>184</v>
      </c>
      <c r="B184">
        <f t="shared" si="6"/>
        <v>-0.83733832249987783</v>
      </c>
      <c r="C184">
        <f t="shared" si="7"/>
        <v>0.66944245901125288</v>
      </c>
      <c r="D184">
        <f t="shared" si="8"/>
        <v>-0.74286391356221293</v>
      </c>
    </row>
    <row r="185" spans="1:4" x14ac:dyDescent="0.3">
      <c r="A185">
        <v>185</v>
      </c>
      <c r="B185">
        <f t="shared" si="6"/>
        <v>-0.82474676877807473</v>
      </c>
      <c r="C185">
        <f t="shared" si="7"/>
        <v>0.67874295429772324</v>
      </c>
      <c r="D185">
        <f t="shared" si="8"/>
        <v>-0.73437592688703979</v>
      </c>
    </row>
    <row r="186" spans="1:4" x14ac:dyDescent="0.3">
      <c r="A186">
        <v>186</v>
      </c>
      <c r="B186">
        <f t="shared" si="6"/>
        <v>-0.81215521505627208</v>
      </c>
      <c r="C186">
        <f t="shared" si="7"/>
        <v>0.68793583819401527</v>
      </c>
      <c r="D186">
        <f t="shared" si="8"/>
        <v>-0.72577150848479688</v>
      </c>
    </row>
    <row r="187" spans="1:4" x14ac:dyDescent="0.3">
      <c r="A187">
        <v>187</v>
      </c>
      <c r="B187">
        <f t="shared" si="6"/>
        <v>-0.79956366133446943</v>
      </c>
      <c r="C187">
        <f t="shared" si="7"/>
        <v>0.69701965321315373</v>
      </c>
      <c r="D187">
        <f t="shared" si="8"/>
        <v>-0.71705202254412126</v>
      </c>
    </row>
    <row r="188" spans="1:4" x14ac:dyDescent="0.3">
      <c r="A188">
        <v>188</v>
      </c>
      <c r="B188">
        <f t="shared" si="6"/>
        <v>-0.78697210761266634</v>
      </c>
      <c r="C188">
        <f t="shared" si="7"/>
        <v>0.70599295916050209</v>
      </c>
      <c r="D188">
        <f t="shared" si="8"/>
        <v>-0.70821885149704789</v>
      </c>
    </row>
    <row r="189" spans="1:4" x14ac:dyDescent="0.3">
      <c r="A189">
        <v>189</v>
      </c>
      <c r="B189">
        <f t="shared" si="6"/>
        <v>-0.77438055389086369</v>
      </c>
      <c r="C189">
        <f t="shared" si="7"/>
        <v>0.7148543333620988</v>
      </c>
      <c r="D189">
        <f t="shared" si="8"/>
        <v>-0.69927339579983261</v>
      </c>
    </row>
    <row r="190" spans="1:4" x14ac:dyDescent="0.3">
      <c r="A190">
        <v>190</v>
      </c>
      <c r="B190">
        <f t="shared" si="6"/>
        <v>-0.76178900016906104</v>
      </c>
      <c r="C190">
        <f t="shared" si="7"/>
        <v>0.72360237089021584</v>
      </c>
      <c r="D190">
        <f t="shared" si="8"/>
        <v>-0.6902170737109149</v>
      </c>
    </row>
    <row r="191" spans="1:4" x14ac:dyDescent="0.3">
      <c r="A191">
        <v>191</v>
      </c>
      <c r="B191">
        <f t="shared" si="6"/>
        <v>-0.74919744644725794</v>
      </c>
      <c r="C191">
        <f t="shared" si="7"/>
        <v>0.73223568478610324</v>
      </c>
      <c r="D191">
        <f t="shared" si="8"/>
        <v>-0.6810513210660607</v>
      </c>
    </row>
    <row r="192" spans="1:4" x14ac:dyDescent="0.3">
      <c r="A192">
        <v>192</v>
      </c>
      <c r="B192">
        <f t="shared" si="6"/>
        <v>-0.73660589272545529</v>
      </c>
      <c r="C192">
        <f t="shared" si="7"/>
        <v>0.74075290627988322</v>
      </c>
      <c r="D192">
        <f t="shared" si="8"/>
        <v>-0.67177759105071866</v>
      </c>
    </row>
    <row r="193" spans="1:4" x14ac:dyDescent="0.3">
      <c r="A193">
        <v>193</v>
      </c>
      <c r="B193">
        <f t="shared" ref="B193:B256" si="9">-3.14159265358979+(A193-1)*0.0125915537218028</f>
        <v>-0.72401433900365264</v>
      </c>
      <c r="C193">
        <f t="shared" ref="C193:C256" si="10">1*COS(B193)+0</f>
        <v>0.74915268500756382</v>
      </c>
      <c r="D193">
        <f t="shared" ref="D193:D256" si="11">1*SIN(B193)+0+0*COS(B193)</f>
        <v>-0.66239735396962285</v>
      </c>
    </row>
    <row r="194" spans="1:4" x14ac:dyDescent="0.3">
      <c r="A194">
        <v>194</v>
      </c>
      <c r="B194">
        <f t="shared" si="9"/>
        <v>-0.71142278528184955</v>
      </c>
      <c r="C194">
        <f t="shared" si="10"/>
        <v>0.7574336892251321</v>
      </c>
      <c r="D194">
        <f t="shared" si="11"/>
        <v>-0.65291209701368369</v>
      </c>
    </row>
    <row r="195" spans="1:4" x14ac:dyDescent="0.3">
      <c r="A195">
        <v>195</v>
      </c>
      <c r="B195">
        <f t="shared" si="9"/>
        <v>-0.69883123156004689</v>
      </c>
      <c r="C195">
        <f t="shared" si="10"/>
        <v>0.76559460601969409</v>
      </c>
      <c r="D195">
        <f t="shared" si="11"/>
        <v>-0.64332332402420278</v>
      </c>
    </row>
    <row r="196" spans="1:4" x14ac:dyDescent="0.3">
      <c r="A196">
        <v>196</v>
      </c>
      <c r="B196">
        <f t="shared" si="9"/>
        <v>-0.6862396778382438</v>
      </c>
      <c r="C196">
        <f t="shared" si="10"/>
        <v>0.77363414151763321</v>
      </c>
      <c r="D196">
        <f t="shared" si="11"/>
        <v>-0.63363255525444295</v>
      </c>
    </row>
    <row r="197" spans="1:4" x14ac:dyDescent="0.3">
      <c r="A197">
        <v>197</v>
      </c>
      <c r="B197">
        <f t="shared" si="9"/>
        <v>-0.67364812411644115</v>
      </c>
      <c r="C197">
        <f t="shared" si="10"/>
        <v>0.78155102108974517</v>
      </c>
      <c r="D197">
        <f t="shared" si="11"/>
        <v>-0.62384132712860307</v>
      </c>
    </row>
    <row r="198" spans="1:4" x14ac:dyDescent="0.3">
      <c r="A198">
        <v>198</v>
      </c>
      <c r="B198">
        <f t="shared" si="9"/>
        <v>-0.6610565703946385</v>
      </c>
      <c r="C198">
        <f t="shared" si="10"/>
        <v>0.78934398955332641</v>
      </c>
      <c r="D198">
        <f t="shared" si="11"/>
        <v>-0.61395119199822235</v>
      </c>
    </row>
    <row r="199" spans="1:4" x14ac:dyDescent="0.3">
      <c r="A199">
        <v>199</v>
      </c>
      <c r="B199">
        <f t="shared" si="9"/>
        <v>-0.6484650166728354</v>
      </c>
      <c r="C199">
        <f t="shared" si="10"/>
        <v>0.79701181137117627</v>
      </c>
      <c r="D199">
        <f t="shared" si="11"/>
        <v>-0.60396371789606418</v>
      </c>
    </row>
    <row r="200" spans="1:4" x14ac:dyDescent="0.3">
      <c r="A200">
        <v>200</v>
      </c>
      <c r="B200">
        <f t="shared" si="9"/>
        <v>-0.63587346295103275</v>
      </c>
      <c r="C200">
        <f t="shared" si="10"/>
        <v>0.80455327084748429</v>
      </c>
      <c r="D200">
        <f t="shared" si="11"/>
        <v>-0.59388048828751272</v>
      </c>
    </row>
    <row r="201" spans="1:4" x14ac:dyDescent="0.3">
      <c r="A201">
        <v>201</v>
      </c>
      <c r="B201">
        <f t="shared" si="9"/>
        <v>-0.6232819092292301</v>
      </c>
      <c r="C201">
        <f t="shared" si="10"/>
        <v>0.81196717232057491</v>
      </c>
      <c r="D201">
        <f t="shared" si="11"/>
        <v>-0.58370310181952068</v>
      </c>
    </row>
    <row r="202" spans="1:4" x14ac:dyDescent="0.3">
      <c r="A202">
        <v>202</v>
      </c>
      <c r="B202">
        <f t="shared" si="9"/>
        <v>-0.61069035550742701</v>
      </c>
      <c r="C202">
        <f t="shared" si="10"/>
        <v>0.81925234035247285</v>
      </c>
      <c r="D202">
        <f t="shared" si="11"/>
        <v>-0.57343317206715205</v>
      </c>
    </row>
    <row r="203" spans="1:4" x14ac:dyDescent="0.3">
      <c r="A203">
        <v>203</v>
      </c>
      <c r="B203">
        <f t="shared" si="9"/>
        <v>-0.59809880178562436</v>
      </c>
      <c r="C203">
        <f t="shared" si="10"/>
        <v>0.82640761991526213</v>
      </c>
      <c r="D203">
        <f t="shared" si="11"/>
        <v>-0.56307232727775902</v>
      </c>
    </row>
    <row r="204" spans="1:4" x14ac:dyDescent="0.3">
      <c r="A204">
        <v>204</v>
      </c>
      <c r="B204">
        <f t="shared" si="9"/>
        <v>-0.58550724806382171</v>
      </c>
      <c r="C204">
        <f t="shared" si="10"/>
        <v>0.83343187657421181</v>
      </c>
      <c r="D204">
        <f t="shared" si="11"/>
        <v>-0.55262221011282897</v>
      </c>
    </row>
    <row r="205" spans="1:4" x14ac:dyDescent="0.3">
      <c r="A205">
        <v>205</v>
      </c>
      <c r="B205">
        <f t="shared" si="9"/>
        <v>-0.57291569434201861</v>
      </c>
      <c r="C205">
        <f t="shared" si="10"/>
        <v>0.84032399666763458</v>
      </c>
      <c r="D205">
        <f t="shared" si="11"/>
        <v>-0.54208447738755017</v>
      </c>
    </row>
    <row r="206" spans="1:4" x14ac:dyDescent="0.3">
      <c r="A206">
        <v>206</v>
      </c>
      <c r="B206">
        <f t="shared" si="9"/>
        <v>-0.56032414062021596</v>
      </c>
      <c r="C206">
        <f t="shared" si="10"/>
        <v>0.84708288748345095</v>
      </c>
      <c r="D206">
        <f t="shared" si="11"/>
        <v>-0.53146079980813188</v>
      </c>
    </row>
    <row r="207" spans="1:4" x14ac:dyDescent="0.3">
      <c r="A207">
        <v>207</v>
      </c>
      <c r="B207">
        <f t="shared" si="9"/>
        <v>-0.54773258689841331</v>
      </c>
      <c r="C207">
        <f t="shared" si="10"/>
        <v>0.8537074774324358</v>
      </c>
      <c r="D207">
        <f t="shared" si="11"/>
        <v>-0.52075286170692059</v>
      </c>
    </row>
    <row r="208" spans="1:4" x14ac:dyDescent="0.3">
      <c r="A208">
        <v>208</v>
      </c>
      <c r="B208">
        <f t="shared" si="9"/>
        <v>-0.53514103317661021</v>
      </c>
      <c r="C208">
        <f t="shared" si="10"/>
        <v>0.86019671621811211</v>
      </c>
      <c r="D208">
        <f t="shared" si="11"/>
        <v>-0.50996236077535817</v>
      </c>
    </row>
    <row r="209" spans="1:4" x14ac:dyDescent="0.3">
      <c r="A209">
        <v>209</v>
      </c>
      <c r="B209">
        <f t="shared" si="9"/>
        <v>-0.52254947945480756</v>
      </c>
      <c r="C209">
        <f t="shared" si="10"/>
        <v>0.86654957500327034</v>
      </c>
      <c r="D209">
        <f t="shared" si="11"/>
        <v>-0.49909100779482252</v>
      </c>
    </row>
    <row r="210" spans="1:4" x14ac:dyDescent="0.3">
      <c r="A210">
        <v>210</v>
      </c>
      <c r="B210">
        <f t="shared" si="9"/>
        <v>-0.50995792573300491</v>
      </c>
      <c r="C210">
        <f t="shared" si="10"/>
        <v>0.87276504657308618</v>
      </c>
      <c r="D210">
        <f t="shared" si="11"/>
        <v>-0.48814052636538874</v>
      </c>
    </row>
    <row r="211" spans="1:4" x14ac:dyDescent="0.3">
      <c r="A211">
        <v>211</v>
      </c>
      <c r="B211">
        <f t="shared" si="9"/>
        <v>-0.49736637201120182</v>
      </c>
      <c r="C211">
        <f t="shared" si="10"/>
        <v>0.87884214549480955</v>
      </c>
      <c r="D211">
        <f t="shared" si="11"/>
        <v>-0.47711265263256231</v>
      </c>
    </row>
    <row r="212" spans="1:4" x14ac:dyDescent="0.3">
      <c r="A212">
        <v>212</v>
      </c>
      <c r="B212">
        <f t="shared" si="9"/>
        <v>-0.48477481828939917</v>
      </c>
      <c r="C212">
        <f t="shared" si="10"/>
        <v>0.88477990827399922</v>
      </c>
      <c r="D212">
        <f t="shared" si="11"/>
        <v>-0.46600913501202273</v>
      </c>
    </row>
    <row r="213" spans="1:4" x14ac:dyDescent="0.3">
      <c r="A213">
        <v>213</v>
      </c>
      <c r="B213">
        <f t="shared" si="9"/>
        <v>-0.47218326456759652</v>
      </c>
      <c r="C213">
        <f t="shared" si="10"/>
        <v>0.89057739350728138</v>
      </c>
      <c r="D213">
        <f t="shared" si="11"/>
        <v>-0.45483173391241832</v>
      </c>
    </row>
    <row r="214" spans="1:4" x14ac:dyDescent="0.3">
      <c r="A214">
        <v>214</v>
      </c>
      <c r="B214">
        <f t="shared" si="9"/>
        <v>-0.45959171084579342</v>
      </c>
      <c r="C214">
        <f t="shared" si="10"/>
        <v>0.89623368203160425</v>
      </c>
      <c r="D214">
        <f t="shared" si="11"/>
        <v>-0.44358222145626325</v>
      </c>
    </row>
    <row r="215" spans="1:4" x14ac:dyDescent="0.3">
      <c r="A215">
        <v>215</v>
      </c>
      <c r="B215">
        <f t="shared" si="9"/>
        <v>-0.44700015712399077</v>
      </c>
      <c r="C215">
        <f t="shared" si="10"/>
        <v>0.90174787706996573</v>
      </c>
      <c r="D215">
        <f t="shared" si="11"/>
        <v>-0.43226238119897725</v>
      </c>
    </row>
    <row r="216" spans="1:4" x14ac:dyDescent="0.3">
      <c r="A216">
        <v>216</v>
      </c>
      <c r="B216">
        <f t="shared" si="9"/>
        <v>-0.43440860340218812</v>
      </c>
      <c r="C216">
        <f t="shared" si="10"/>
        <v>0.907119104373595</v>
      </c>
      <c r="D216">
        <f t="shared" si="11"/>
        <v>-0.4208740078461094</v>
      </c>
    </row>
    <row r="217" spans="1:4" x14ac:dyDescent="0.3">
      <c r="A217">
        <v>217</v>
      </c>
      <c r="B217">
        <f t="shared" si="9"/>
        <v>-0.42181704968038503</v>
      </c>
      <c r="C217">
        <f t="shared" si="10"/>
        <v>0.91234651236055886</v>
      </c>
      <c r="D217">
        <f t="shared" si="11"/>
        <v>-0.40941890696879712</v>
      </c>
    </row>
    <row r="218" spans="1:4" x14ac:dyDescent="0.3">
      <c r="A218">
        <v>218</v>
      </c>
      <c r="B218">
        <f t="shared" si="9"/>
        <v>-0.40922549595858237</v>
      </c>
      <c r="C218">
        <f t="shared" si="10"/>
        <v>0.91742927225077642</v>
      </c>
      <c r="D218">
        <f t="shared" si="11"/>
        <v>-0.39789889471750334</v>
      </c>
    </row>
    <row r="219" spans="1:4" x14ac:dyDescent="0.3">
      <c r="A219">
        <v>219</v>
      </c>
      <c r="B219">
        <f t="shared" si="9"/>
        <v>-0.39663394223677972</v>
      </c>
      <c r="C219">
        <f t="shared" si="10"/>
        <v>0.92236657819741819</v>
      </c>
      <c r="D219">
        <f t="shared" si="11"/>
        <v>-0.38631579753407186</v>
      </c>
    </row>
    <row r="220" spans="1:4" x14ac:dyDescent="0.3">
      <c r="A220">
        <v>220</v>
      </c>
      <c r="B220">
        <f t="shared" si="9"/>
        <v>-0.38404238851497663</v>
      </c>
      <c r="C220">
        <f t="shared" si="10"/>
        <v>0.92715764741466955</v>
      </c>
      <c r="D220">
        <f t="shared" si="11"/>
        <v>-0.37467145186215534</v>
      </c>
    </row>
    <row r="221" spans="1:4" x14ac:dyDescent="0.3">
      <c r="A221">
        <v>221</v>
      </c>
      <c r="B221">
        <f t="shared" si="9"/>
        <v>-0.37145083479317398</v>
      </c>
      <c r="C221">
        <f t="shared" si="10"/>
        <v>0.93180172030183628</v>
      </c>
      <c r="D221">
        <f t="shared" si="11"/>
        <v>-0.3629677038560572</v>
      </c>
    </row>
    <row r="222" spans="1:4" x14ac:dyDescent="0.3">
      <c r="A222">
        <v>222</v>
      </c>
      <c r="B222">
        <f t="shared" si="9"/>
        <v>-0.35885928107137133</v>
      </c>
      <c r="C222">
        <f t="shared" si="10"/>
        <v>0.9362980605637774</v>
      </c>
      <c r="D222">
        <f t="shared" si="11"/>
        <v>-0.35120640908803058</v>
      </c>
    </row>
    <row r="223" spans="1:4" x14ac:dyDescent="0.3">
      <c r="A223">
        <v>223</v>
      </c>
      <c r="B223">
        <f t="shared" si="9"/>
        <v>-0.34626772734956823</v>
      </c>
      <c r="C223">
        <f t="shared" si="10"/>
        <v>0.94064595532763984</v>
      </c>
      <c r="D223">
        <f t="shared" si="11"/>
        <v>-0.3393894322540873</v>
      </c>
    </row>
    <row r="224" spans="1:4" x14ac:dyDescent="0.3">
      <c r="A224">
        <v>224</v>
      </c>
      <c r="B224">
        <f t="shared" si="9"/>
        <v>-0.33367617362776558</v>
      </c>
      <c r="C224">
        <f t="shared" si="10"/>
        <v>0.94484471525588132</v>
      </c>
      <c r="D224">
        <f t="shared" si="11"/>
        <v>-0.32751864687836102</v>
      </c>
    </row>
    <row r="225" spans="1:4" x14ac:dyDescent="0.3">
      <c r="A225">
        <v>225</v>
      </c>
      <c r="B225">
        <f t="shared" si="9"/>
        <v>-0.32108461990596293</v>
      </c>
      <c r="C225">
        <f t="shared" si="10"/>
        <v>0.94889367465556163</v>
      </c>
      <c r="D225">
        <f t="shared" si="11"/>
        <v>-0.31559593501606631</v>
      </c>
    </row>
    <row r="226" spans="1:4" x14ac:dyDescent="0.3">
      <c r="A226">
        <v>226</v>
      </c>
      <c r="B226">
        <f t="shared" si="9"/>
        <v>-0.30849306618415984</v>
      </c>
      <c r="C226">
        <f t="shared" si="10"/>
        <v>0.95279219158388506</v>
      </c>
      <c r="D226">
        <f t="shared" si="11"/>
        <v>-0.30362318695510926</v>
      </c>
    </row>
    <row r="227" spans="1:4" x14ac:dyDescent="0.3">
      <c r="A227">
        <v>227</v>
      </c>
      <c r="B227">
        <f t="shared" si="9"/>
        <v>-0.29590151246235719</v>
      </c>
      <c r="C227">
        <f t="shared" si="10"/>
        <v>0.9565396479499767</v>
      </c>
      <c r="D227">
        <f t="shared" si="11"/>
        <v>-0.29160230091639305</v>
      </c>
    </row>
    <row r="228" spans="1:4" x14ac:dyDescent="0.3">
      <c r="A228">
        <v>228</v>
      </c>
      <c r="B228">
        <f t="shared" si="9"/>
        <v>-0.28330995874055453</v>
      </c>
      <c r="C228">
        <f t="shared" si="10"/>
        <v>0.96013544961287856</v>
      </c>
      <c r="D228">
        <f t="shared" si="11"/>
        <v>-0.27953518275286143</v>
      </c>
    </row>
    <row r="229" spans="1:4" x14ac:dyDescent="0.3">
      <c r="A229">
        <v>229</v>
      </c>
      <c r="B229">
        <f t="shared" si="9"/>
        <v>-0.27071840501875144</v>
      </c>
      <c r="C229">
        <f t="shared" si="10"/>
        <v>0.96357902647574722</v>
      </c>
      <c r="D229">
        <f t="shared" si="11"/>
        <v>-0.26742374564733634</v>
      </c>
    </row>
    <row r="230" spans="1:4" x14ac:dyDescent="0.3">
      <c r="A230">
        <v>230</v>
      </c>
      <c r="B230">
        <f t="shared" si="9"/>
        <v>-0.25812685129694879</v>
      </c>
      <c r="C230">
        <f t="shared" si="10"/>
        <v>0.96686983257623993</v>
      </c>
      <c r="D230">
        <f t="shared" si="11"/>
        <v>-0.25526990980919356</v>
      </c>
    </row>
    <row r="231" spans="1:4" x14ac:dyDescent="0.3">
      <c r="A231">
        <v>231</v>
      </c>
      <c r="B231">
        <f t="shared" si="9"/>
        <v>-0.24553529757514614</v>
      </c>
      <c r="C231">
        <f t="shared" si="10"/>
        <v>0.97000734617307449</v>
      </c>
      <c r="D231">
        <f t="shared" si="11"/>
        <v>-0.24307560216992019</v>
      </c>
    </row>
    <row r="232" spans="1:4" x14ac:dyDescent="0.3">
      <c r="A232">
        <v>232</v>
      </c>
      <c r="B232">
        <f t="shared" si="9"/>
        <v>-0.23294374385334304</v>
      </c>
      <c r="C232">
        <f t="shared" si="10"/>
        <v>0.97299106982874872</v>
      </c>
      <c r="D232">
        <f t="shared" si="11"/>
        <v>-0.23084275607761018</v>
      </c>
    </row>
    <row r="233" spans="1:4" x14ac:dyDescent="0.3">
      <c r="A233">
        <v>233</v>
      </c>
      <c r="B233">
        <f t="shared" si="9"/>
        <v>-0.22035219013154039</v>
      </c>
      <c r="C233">
        <f t="shared" si="10"/>
        <v>0.97582053048840656</v>
      </c>
      <c r="D233">
        <f t="shared" si="11"/>
        <v>-0.21857331099044294</v>
      </c>
    </row>
    <row r="234" spans="1:4" x14ac:dyDescent="0.3">
      <c r="A234">
        <v>234</v>
      </c>
      <c r="B234">
        <f t="shared" si="9"/>
        <v>-0.20776063640973774</v>
      </c>
      <c r="C234">
        <f t="shared" si="10"/>
        <v>0.97849527955483873</v>
      </c>
      <c r="D234">
        <f t="shared" si="11"/>
        <v>-0.206269212169189</v>
      </c>
    </row>
    <row r="235" spans="1:4" x14ac:dyDescent="0.3">
      <c r="A235">
        <v>235</v>
      </c>
      <c r="B235">
        <f t="shared" si="9"/>
        <v>-0.19516908268793465</v>
      </c>
      <c r="C235">
        <f t="shared" si="10"/>
        <v>0.9810148929596062</v>
      </c>
      <c r="D235">
        <f t="shared" si="11"/>
        <v>-0.1939324103687996</v>
      </c>
    </row>
    <row r="236" spans="1:4" x14ac:dyDescent="0.3">
      <c r="A236">
        <v>236</v>
      </c>
      <c r="B236">
        <f t="shared" si="9"/>
        <v>-0.182577528966132</v>
      </c>
      <c r="C236">
        <f t="shared" si="10"/>
        <v>0.98337897123027274</v>
      </c>
      <c r="D236">
        <f t="shared" si="11"/>
        <v>-0.18156486152912546</v>
      </c>
    </row>
    <row r="237" spans="1:4" x14ac:dyDescent="0.3">
      <c r="A237">
        <v>237</v>
      </c>
      <c r="B237">
        <f t="shared" si="9"/>
        <v>-0.16998597524432935</v>
      </c>
      <c r="C237">
        <f t="shared" si="10"/>
        <v>0.98558713955374089</v>
      </c>
      <c r="D237">
        <f t="shared" si="11"/>
        <v>-0.16916852646480929</v>
      </c>
    </row>
    <row r="238" spans="1:4" x14ac:dyDescent="0.3">
      <c r="A238">
        <v>238</v>
      </c>
      <c r="B238">
        <f t="shared" si="9"/>
        <v>-0.15739442152252625</v>
      </c>
      <c r="C238">
        <f t="shared" si="10"/>
        <v>0.98763904783567602</v>
      </c>
      <c r="D238">
        <f t="shared" si="11"/>
        <v>-0.15674537055440954</v>
      </c>
    </row>
    <row r="239" spans="1:4" x14ac:dyDescent="0.3">
      <c r="A239">
        <v>239</v>
      </c>
      <c r="B239">
        <f t="shared" si="9"/>
        <v>-0.1448028678007236</v>
      </c>
      <c r="C239">
        <f t="shared" si="10"/>
        <v>0.98953437075601203</v>
      </c>
      <c r="D239">
        <f t="shared" si="11"/>
        <v>-0.14429736342880053</v>
      </c>
    </row>
    <row r="240" spans="1:4" x14ac:dyDescent="0.3">
      <c r="A240">
        <v>240</v>
      </c>
      <c r="B240">
        <f t="shared" si="9"/>
        <v>-0.13221131407892095</v>
      </c>
      <c r="C240">
        <f t="shared" si="10"/>
        <v>0.99127280782052929</v>
      </c>
      <c r="D240">
        <f t="shared" si="11"/>
        <v>-0.13182647865889446</v>
      </c>
    </row>
    <row r="241" spans="1:4" x14ac:dyDescent="0.3">
      <c r="A241">
        <v>241</v>
      </c>
      <c r="B241">
        <f t="shared" si="9"/>
        <v>-0.11961976035711785</v>
      </c>
      <c r="C241">
        <f t="shared" si="10"/>
        <v>0.99285408340849701</v>
      </c>
      <c r="D241">
        <f t="shared" si="11"/>
        <v>-0.11933469344274253</v>
      </c>
    </row>
    <row r="242" spans="1:4" x14ac:dyDescent="0.3">
      <c r="A242">
        <v>242</v>
      </c>
      <c r="B242">
        <f t="shared" si="9"/>
        <v>-0.1070282066353152</v>
      </c>
      <c r="C242">
        <f t="shared" si="10"/>
        <v>0.99427794681637061</v>
      </c>
      <c r="D242">
        <f t="shared" si="11"/>
        <v>-0.1068239882920613</v>
      </c>
    </row>
    <row r="243" spans="1:4" x14ac:dyDescent="0.3">
      <c r="A243">
        <v>243</v>
      </c>
      <c r="B243">
        <f t="shared" si="9"/>
        <v>-9.4436652913512553E-2</v>
      </c>
      <c r="C243">
        <f t="shared" si="10"/>
        <v>0.99554417229754077</v>
      </c>
      <c r="D243">
        <f t="shared" si="11"/>
        <v>-9.4296346718229507E-2</v>
      </c>
    </row>
    <row r="244" spans="1:4" x14ac:dyDescent="0.3">
      <c r="A244">
        <v>244</v>
      </c>
      <c r="B244">
        <f t="shared" si="9"/>
        <v>-8.1845099191709458E-2</v>
      </c>
      <c r="C244">
        <f t="shared" si="10"/>
        <v>0.99665255909812334</v>
      </c>
      <c r="D244">
        <f t="shared" si="11"/>
        <v>-8.1753754917813268E-2</v>
      </c>
    </row>
    <row r="245" spans="1:4" x14ac:dyDescent="0.3">
      <c r="A245">
        <v>245</v>
      </c>
      <c r="B245">
        <f t="shared" si="9"/>
        <v>-6.9253545469906808E-2</v>
      </c>
      <c r="C245">
        <f t="shared" si="10"/>
        <v>0.99760293148878842</v>
      </c>
      <c r="D245">
        <f t="shared" si="11"/>
        <v>-6.919820145766567E-2</v>
      </c>
    </row>
    <row r="246" spans="1:4" x14ac:dyDescent="0.3">
      <c r="A246">
        <v>246</v>
      </c>
      <c r="B246">
        <f t="shared" si="9"/>
        <v>-5.6661991748104157E-2</v>
      </c>
      <c r="C246">
        <f t="shared" si="10"/>
        <v>0.99839513879262165</v>
      </c>
      <c r="D246">
        <f t="shared" si="11"/>
        <v>-5.6631676959646479E-2</v>
      </c>
    </row>
    <row r="247" spans="1:4" x14ac:dyDescent="0.3">
      <c r="A247">
        <v>247</v>
      </c>
      <c r="B247">
        <f t="shared" si="9"/>
        <v>-4.4070438026301062E-2</v>
      </c>
      <c r="C247">
        <f t="shared" si="10"/>
        <v>0.99902905540901266</v>
      </c>
      <c r="D247">
        <f t="shared" si="11"/>
        <v>-4.4056173785020115E-2</v>
      </c>
    </row>
    <row r="248" spans="1:4" x14ac:dyDescent="0.3">
      <c r="A248">
        <v>248</v>
      </c>
      <c r="B248">
        <f t="shared" si="9"/>
        <v>-3.1478884304498411E-2</v>
      </c>
      <c r="C248">
        <f t="shared" si="10"/>
        <v>0.99950458083356886</v>
      </c>
      <c r="D248">
        <f t="shared" si="11"/>
        <v>-3.1473685718577782E-2</v>
      </c>
    </row>
    <row r="249" spans="1:4" x14ac:dyDescent="0.3">
      <c r="A249">
        <v>249</v>
      </c>
      <c r="B249">
        <f t="shared" si="9"/>
        <v>-1.888733058269576E-2</v>
      </c>
      <c r="C249">
        <f t="shared" si="10"/>
        <v>0.9998216396740498</v>
      </c>
      <c r="D249">
        <f t="shared" si="11"/>
        <v>-1.8886207652529921E-2</v>
      </c>
    </row>
    <row r="250" spans="1:4" x14ac:dyDescent="0.3">
      <c r="A250">
        <v>250</v>
      </c>
      <c r="B250">
        <f t="shared" si="9"/>
        <v>-6.2957768608926656E-3</v>
      </c>
      <c r="C250">
        <f t="shared" si="10"/>
        <v>0.99998018166232039</v>
      </c>
      <c r="D250">
        <f t="shared" si="11"/>
        <v>-6.2957352702271195E-3</v>
      </c>
    </row>
    <row r="251" spans="1:4" x14ac:dyDescent="0.3">
      <c r="A251">
        <v>251</v>
      </c>
      <c r="B251">
        <f t="shared" si="9"/>
        <v>6.2957768609099851E-3</v>
      </c>
      <c r="C251">
        <f t="shared" si="10"/>
        <v>0.99998018166232028</v>
      </c>
      <c r="D251">
        <f t="shared" si="11"/>
        <v>6.295735270244439E-3</v>
      </c>
    </row>
    <row r="252" spans="1:4" x14ac:dyDescent="0.3">
      <c r="A252">
        <v>252</v>
      </c>
      <c r="B252">
        <f t="shared" si="9"/>
        <v>1.8887330582712636E-2</v>
      </c>
      <c r="C252">
        <f t="shared" si="10"/>
        <v>0.99982163967404947</v>
      </c>
      <c r="D252">
        <f t="shared" si="11"/>
        <v>1.8886207652546793E-2</v>
      </c>
    </row>
    <row r="253" spans="1:4" x14ac:dyDescent="0.3">
      <c r="A253">
        <v>253</v>
      </c>
      <c r="B253">
        <f t="shared" si="9"/>
        <v>3.1478884304515731E-2</v>
      </c>
      <c r="C253">
        <f t="shared" si="10"/>
        <v>0.9995045808335683</v>
      </c>
      <c r="D253">
        <f t="shared" si="11"/>
        <v>3.1473685718595094E-2</v>
      </c>
    </row>
    <row r="254" spans="1:4" x14ac:dyDescent="0.3">
      <c r="A254">
        <v>254</v>
      </c>
      <c r="B254">
        <f t="shared" si="9"/>
        <v>4.4070438026318381E-2</v>
      </c>
      <c r="C254">
        <f t="shared" si="10"/>
        <v>0.99902905540901188</v>
      </c>
      <c r="D254">
        <f t="shared" si="11"/>
        <v>4.4056173785037421E-2</v>
      </c>
    </row>
    <row r="255" spans="1:4" x14ac:dyDescent="0.3">
      <c r="A255">
        <v>255</v>
      </c>
      <c r="B255">
        <f t="shared" si="9"/>
        <v>5.6661991748121032E-2</v>
      </c>
      <c r="C255">
        <f t="shared" si="10"/>
        <v>0.99839513879262065</v>
      </c>
      <c r="D255">
        <f t="shared" si="11"/>
        <v>5.6631676959663327E-2</v>
      </c>
    </row>
    <row r="256" spans="1:4" x14ac:dyDescent="0.3">
      <c r="A256">
        <v>256</v>
      </c>
      <c r="B256">
        <f t="shared" si="9"/>
        <v>6.9253545469924127E-2</v>
      </c>
      <c r="C256">
        <f t="shared" si="10"/>
        <v>0.9976029314887872</v>
      </c>
      <c r="D256">
        <f t="shared" si="11"/>
        <v>6.9198201457682948E-2</v>
      </c>
    </row>
    <row r="257" spans="1:4" x14ac:dyDescent="0.3">
      <c r="A257">
        <v>257</v>
      </c>
      <c r="B257">
        <f t="shared" ref="B257:B320" si="12">-3.14159265358979+(A257-1)*0.0125915537218028</f>
        <v>8.1845099191726778E-2</v>
      </c>
      <c r="C257">
        <f t="shared" ref="C257:C320" si="13">1*COS(B257)+0</f>
        <v>0.99665255909812189</v>
      </c>
      <c r="D257">
        <f t="shared" ref="D257:D320" si="14">1*SIN(B257)+0+0*COS(B257)</f>
        <v>8.1753754917830532E-2</v>
      </c>
    </row>
    <row r="258" spans="1:4" x14ac:dyDescent="0.3">
      <c r="A258">
        <v>258</v>
      </c>
      <c r="B258">
        <f t="shared" si="12"/>
        <v>9.4436652913529429E-2</v>
      </c>
      <c r="C258">
        <f t="shared" si="13"/>
        <v>0.99554417229753911</v>
      </c>
      <c r="D258">
        <f t="shared" si="14"/>
        <v>9.4296346718246313E-2</v>
      </c>
    </row>
    <row r="259" spans="1:4" x14ac:dyDescent="0.3">
      <c r="A259">
        <v>259</v>
      </c>
      <c r="B259">
        <f t="shared" si="12"/>
        <v>0.10702820663533252</v>
      </c>
      <c r="C259">
        <f t="shared" si="13"/>
        <v>0.99427794681636883</v>
      </c>
      <c r="D259">
        <f t="shared" si="14"/>
        <v>0.10682398829207852</v>
      </c>
    </row>
    <row r="260" spans="1:4" x14ac:dyDescent="0.3">
      <c r="A260">
        <v>260</v>
      </c>
      <c r="B260">
        <f t="shared" si="12"/>
        <v>0.11961976035713517</v>
      </c>
      <c r="C260">
        <f t="shared" si="13"/>
        <v>0.9928540834084949</v>
      </c>
      <c r="D260">
        <f t="shared" si="14"/>
        <v>0.11933469344275972</v>
      </c>
    </row>
    <row r="261" spans="1:4" x14ac:dyDescent="0.3">
      <c r="A261">
        <v>261</v>
      </c>
      <c r="B261">
        <f t="shared" si="12"/>
        <v>0.13221131407893782</v>
      </c>
      <c r="C261">
        <f t="shared" si="13"/>
        <v>0.99127280782052707</v>
      </c>
      <c r="D261">
        <f t="shared" si="14"/>
        <v>0.13182647865891117</v>
      </c>
    </row>
    <row r="262" spans="1:4" x14ac:dyDescent="0.3">
      <c r="A262">
        <v>262</v>
      </c>
      <c r="B262">
        <f t="shared" si="12"/>
        <v>0.14480286780074092</v>
      </c>
      <c r="C262">
        <f t="shared" si="13"/>
        <v>0.98953437075600947</v>
      </c>
      <c r="D262">
        <f t="shared" si="14"/>
        <v>0.14429736342881769</v>
      </c>
    </row>
    <row r="263" spans="1:4" x14ac:dyDescent="0.3">
      <c r="A263">
        <v>263</v>
      </c>
      <c r="B263">
        <f t="shared" si="12"/>
        <v>0.15739442152254357</v>
      </c>
      <c r="C263">
        <f t="shared" si="13"/>
        <v>0.98763904783567336</v>
      </c>
      <c r="D263">
        <f t="shared" si="14"/>
        <v>0.15674537055442664</v>
      </c>
    </row>
    <row r="264" spans="1:4" x14ac:dyDescent="0.3">
      <c r="A264">
        <v>264</v>
      </c>
      <c r="B264">
        <f t="shared" si="12"/>
        <v>0.16998597524434622</v>
      </c>
      <c r="C264">
        <f t="shared" si="13"/>
        <v>0.985587139553738</v>
      </c>
      <c r="D264">
        <f t="shared" si="14"/>
        <v>0.16916852646482591</v>
      </c>
    </row>
    <row r="265" spans="1:4" x14ac:dyDescent="0.3">
      <c r="A265">
        <v>265</v>
      </c>
      <c r="B265">
        <f t="shared" si="12"/>
        <v>0.18257752896614932</v>
      </c>
      <c r="C265">
        <f t="shared" si="13"/>
        <v>0.98337897123026952</v>
      </c>
      <c r="D265">
        <f t="shared" si="14"/>
        <v>0.1815648615291425</v>
      </c>
    </row>
    <row r="266" spans="1:4" x14ac:dyDescent="0.3">
      <c r="A266">
        <v>266</v>
      </c>
      <c r="B266">
        <f t="shared" si="12"/>
        <v>0.19516908268795197</v>
      </c>
      <c r="C266">
        <f t="shared" si="13"/>
        <v>0.98101489295960276</v>
      </c>
      <c r="D266">
        <f t="shared" si="14"/>
        <v>0.19393241036881659</v>
      </c>
    </row>
    <row r="267" spans="1:4" x14ac:dyDescent="0.3">
      <c r="A267">
        <v>267</v>
      </c>
      <c r="B267">
        <f t="shared" si="12"/>
        <v>0.20776063640975462</v>
      </c>
      <c r="C267">
        <f t="shared" si="13"/>
        <v>0.97849527955483528</v>
      </c>
      <c r="D267">
        <f t="shared" si="14"/>
        <v>0.20626921216920552</v>
      </c>
    </row>
    <row r="268" spans="1:4" x14ac:dyDescent="0.3">
      <c r="A268">
        <v>268</v>
      </c>
      <c r="B268">
        <f t="shared" si="12"/>
        <v>0.22035219013155771</v>
      </c>
      <c r="C268">
        <f t="shared" si="13"/>
        <v>0.97582053048840278</v>
      </c>
      <c r="D268">
        <f t="shared" si="14"/>
        <v>0.21857331099045985</v>
      </c>
    </row>
    <row r="269" spans="1:4" x14ac:dyDescent="0.3">
      <c r="A269">
        <v>269</v>
      </c>
      <c r="B269">
        <f t="shared" si="12"/>
        <v>0.23294374385336036</v>
      </c>
      <c r="C269">
        <f t="shared" si="13"/>
        <v>0.97299106982874473</v>
      </c>
      <c r="D269">
        <f t="shared" si="14"/>
        <v>0.23084275607762703</v>
      </c>
    </row>
    <row r="270" spans="1:4" x14ac:dyDescent="0.3">
      <c r="A270">
        <v>270</v>
      </c>
      <c r="B270">
        <f t="shared" si="12"/>
        <v>0.24553529757516301</v>
      </c>
      <c r="C270">
        <f t="shared" si="13"/>
        <v>0.97000734617307038</v>
      </c>
      <c r="D270">
        <f t="shared" si="14"/>
        <v>0.24307560216993654</v>
      </c>
    </row>
    <row r="271" spans="1:4" x14ac:dyDescent="0.3">
      <c r="A271">
        <v>271</v>
      </c>
      <c r="B271">
        <f t="shared" si="12"/>
        <v>0.25812685129696611</v>
      </c>
      <c r="C271">
        <f t="shared" si="13"/>
        <v>0.96686983257623549</v>
      </c>
      <c r="D271">
        <f t="shared" si="14"/>
        <v>0.25526990980921033</v>
      </c>
    </row>
    <row r="272" spans="1:4" x14ac:dyDescent="0.3">
      <c r="A272">
        <v>272</v>
      </c>
      <c r="B272">
        <f t="shared" si="12"/>
        <v>0.27071840501876876</v>
      </c>
      <c r="C272">
        <f t="shared" si="13"/>
        <v>0.96357902647574256</v>
      </c>
      <c r="D272">
        <f t="shared" si="14"/>
        <v>0.267423745647353</v>
      </c>
    </row>
    <row r="273" spans="1:4" x14ac:dyDescent="0.3">
      <c r="A273">
        <v>273</v>
      </c>
      <c r="B273">
        <f t="shared" si="12"/>
        <v>0.28330995874057141</v>
      </c>
      <c r="C273">
        <f t="shared" si="13"/>
        <v>0.96013544961287378</v>
      </c>
      <c r="D273">
        <f t="shared" si="14"/>
        <v>0.27953518275287759</v>
      </c>
    </row>
    <row r="274" spans="1:4" x14ac:dyDescent="0.3">
      <c r="A274">
        <v>274</v>
      </c>
      <c r="B274">
        <f t="shared" si="12"/>
        <v>0.29590151246237451</v>
      </c>
      <c r="C274">
        <f t="shared" si="13"/>
        <v>0.95653964794997159</v>
      </c>
      <c r="D274">
        <f t="shared" si="14"/>
        <v>0.29160230091640965</v>
      </c>
    </row>
    <row r="275" spans="1:4" x14ac:dyDescent="0.3">
      <c r="A275">
        <v>275</v>
      </c>
      <c r="B275">
        <f t="shared" si="12"/>
        <v>0.30849306618417716</v>
      </c>
      <c r="C275">
        <f t="shared" si="13"/>
        <v>0.95279219158387984</v>
      </c>
      <c r="D275">
        <f t="shared" si="14"/>
        <v>0.3036231869551258</v>
      </c>
    </row>
    <row r="276" spans="1:4" x14ac:dyDescent="0.3">
      <c r="A276">
        <v>276</v>
      </c>
      <c r="B276">
        <f t="shared" si="12"/>
        <v>0.32108461990597981</v>
      </c>
      <c r="C276">
        <f t="shared" si="13"/>
        <v>0.9488936746555563</v>
      </c>
      <c r="D276">
        <f t="shared" si="14"/>
        <v>0.3155959350160823</v>
      </c>
    </row>
    <row r="277" spans="1:4" x14ac:dyDescent="0.3">
      <c r="A277">
        <v>277</v>
      </c>
      <c r="B277">
        <f t="shared" si="12"/>
        <v>0.3336761736277829</v>
      </c>
      <c r="C277">
        <f t="shared" si="13"/>
        <v>0.94484471525587566</v>
      </c>
      <c r="D277">
        <f t="shared" si="14"/>
        <v>0.3275186468783774</v>
      </c>
    </row>
    <row r="278" spans="1:4" x14ac:dyDescent="0.3">
      <c r="A278">
        <v>278</v>
      </c>
      <c r="B278">
        <f t="shared" si="12"/>
        <v>0.34626772734958555</v>
      </c>
      <c r="C278">
        <f t="shared" si="13"/>
        <v>0.94064595532763395</v>
      </c>
      <c r="D278">
        <f t="shared" si="14"/>
        <v>0.33938943225410362</v>
      </c>
    </row>
    <row r="279" spans="1:4" x14ac:dyDescent="0.3">
      <c r="A279">
        <v>279</v>
      </c>
      <c r="B279">
        <f t="shared" si="12"/>
        <v>0.3588592810713882</v>
      </c>
      <c r="C279">
        <f t="shared" si="13"/>
        <v>0.93629806056377141</v>
      </c>
      <c r="D279">
        <f t="shared" si="14"/>
        <v>0.35120640908804635</v>
      </c>
    </row>
    <row r="280" spans="1:4" x14ac:dyDescent="0.3">
      <c r="A280">
        <v>280</v>
      </c>
      <c r="B280">
        <f t="shared" si="12"/>
        <v>0.3714508347931913</v>
      </c>
      <c r="C280">
        <f t="shared" si="13"/>
        <v>0.93180172030183006</v>
      </c>
      <c r="D280">
        <f t="shared" si="14"/>
        <v>0.36296770385607335</v>
      </c>
    </row>
    <row r="281" spans="1:4" x14ac:dyDescent="0.3">
      <c r="A281">
        <v>281</v>
      </c>
      <c r="B281">
        <f t="shared" si="12"/>
        <v>0.38404238851499395</v>
      </c>
      <c r="C281">
        <f t="shared" si="13"/>
        <v>0.927157647414663</v>
      </c>
      <c r="D281">
        <f t="shared" si="14"/>
        <v>0.37467145186217138</v>
      </c>
    </row>
    <row r="282" spans="1:4" x14ac:dyDescent="0.3">
      <c r="A282">
        <v>282</v>
      </c>
      <c r="B282">
        <f t="shared" si="12"/>
        <v>0.3966339422367966</v>
      </c>
      <c r="C282">
        <f t="shared" si="13"/>
        <v>0.92236657819741175</v>
      </c>
      <c r="D282">
        <f t="shared" si="14"/>
        <v>0.3863157975340874</v>
      </c>
    </row>
    <row r="283" spans="1:4" x14ac:dyDescent="0.3">
      <c r="A283">
        <v>283</v>
      </c>
      <c r="B283">
        <f t="shared" si="12"/>
        <v>0.40922549595859969</v>
      </c>
      <c r="C283">
        <f t="shared" si="13"/>
        <v>0.91742927225076953</v>
      </c>
      <c r="D283">
        <f t="shared" si="14"/>
        <v>0.39789889471751921</v>
      </c>
    </row>
    <row r="284" spans="1:4" x14ac:dyDescent="0.3">
      <c r="A284">
        <v>284</v>
      </c>
      <c r="B284">
        <f t="shared" si="12"/>
        <v>0.42181704968040235</v>
      </c>
      <c r="C284">
        <f t="shared" si="13"/>
        <v>0.91234651236055175</v>
      </c>
      <c r="D284">
        <f t="shared" si="14"/>
        <v>0.40941890696881295</v>
      </c>
    </row>
    <row r="285" spans="1:4" x14ac:dyDescent="0.3">
      <c r="A285">
        <v>285</v>
      </c>
      <c r="B285">
        <f t="shared" si="12"/>
        <v>0.434408603402205</v>
      </c>
      <c r="C285">
        <f t="shared" si="13"/>
        <v>0.90711910437358789</v>
      </c>
      <c r="D285">
        <f t="shared" si="14"/>
        <v>0.42087400784612472</v>
      </c>
    </row>
    <row r="286" spans="1:4" x14ac:dyDescent="0.3">
      <c r="A286">
        <v>286</v>
      </c>
      <c r="B286">
        <f t="shared" si="12"/>
        <v>0.44700015712400809</v>
      </c>
      <c r="C286">
        <f t="shared" si="13"/>
        <v>0.90174787706995829</v>
      </c>
      <c r="D286">
        <f t="shared" si="14"/>
        <v>0.43226238119899291</v>
      </c>
    </row>
    <row r="287" spans="1:4" x14ac:dyDescent="0.3">
      <c r="A287">
        <v>287</v>
      </c>
      <c r="B287">
        <f t="shared" si="12"/>
        <v>0.45959171084581074</v>
      </c>
      <c r="C287">
        <f t="shared" si="13"/>
        <v>0.89623368203159648</v>
      </c>
      <c r="D287">
        <f t="shared" si="14"/>
        <v>0.44358222145627879</v>
      </c>
    </row>
    <row r="288" spans="1:4" x14ac:dyDescent="0.3">
      <c r="A288">
        <v>288</v>
      </c>
      <c r="B288">
        <f t="shared" si="12"/>
        <v>0.47218326456761339</v>
      </c>
      <c r="C288">
        <f t="shared" si="13"/>
        <v>0.89057739350727372</v>
      </c>
      <c r="D288">
        <f t="shared" si="14"/>
        <v>0.45483173391243337</v>
      </c>
    </row>
    <row r="289" spans="1:4" x14ac:dyDescent="0.3">
      <c r="A289">
        <v>289</v>
      </c>
      <c r="B289">
        <f t="shared" si="12"/>
        <v>0.48477481828941649</v>
      </c>
      <c r="C289">
        <f t="shared" si="13"/>
        <v>0.88477990827399111</v>
      </c>
      <c r="D289">
        <f t="shared" si="14"/>
        <v>0.46600913501203806</v>
      </c>
    </row>
    <row r="290" spans="1:4" x14ac:dyDescent="0.3">
      <c r="A290">
        <v>290</v>
      </c>
      <c r="B290">
        <f t="shared" si="12"/>
        <v>0.49736637201121914</v>
      </c>
      <c r="C290">
        <f t="shared" si="13"/>
        <v>0.87884214549480122</v>
      </c>
      <c r="D290">
        <f t="shared" si="14"/>
        <v>0.47711265263257752</v>
      </c>
    </row>
    <row r="291" spans="1:4" x14ac:dyDescent="0.3">
      <c r="A291">
        <v>291</v>
      </c>
      <c r="B291">
        <f t="shared" si="12"/>
        <v>0.50995792573302179</v>
      </c>
      <c r="C291">
        <f t="shared" si="13"/>
        <v>0.87276504657307785</v>
      </c>
      <c r="D291">
        <f t="shared" si="14"/>
        <v>0.48814052636540345</v>
      </c>
    </row>
    <row r="292" spans="1:4" x14ac:dyDescent="0.3">
      <c r="A292">
        <v>292</v>
      </c>
      <c r="B292">
        <f t="shared" si="12"/>
        <v>0.52254947945482488</v>
      </c>
      <c r="C292">
        <f t="shared" si="13"/>
        <v>0.86654957500326169</v>
      </c>
      <c r="D292">
        <f t="shared" si="14"/>
        <v>0.49909100779483756</v>
      </c>
    </row>
    <row r="293" spans="1:4" x14ac:dyDescent="0.3">
      <c r="A293">
        <v>293</v>
      </c>
      <c r="B293">
        <f t="shared" si="12"/>
        <v>0.53514103317662753</v>
      </c>
      <c r="C293">
        <f t="shared" si="13"/>
        <v>0.86019671621810334</v>
      </c>
      <c r="D293">
        <f t="shared" si="14"/>
        <v>0.50996236077537316</v>
      </c>
    </row>
    <row r="294" spans="1:4" x14ac:dyDescent="0.3">
      <c r="A294">
        <v>294</v>
      </c>
      <c r="B294">
        <f t="shared" si="12"/>
        <v>0.54773258689843018</v>
      </c>
      <c r="C294">
        <f t="shared" si="13"/>
        <v>0.85370747743242703</v>
      </c>
      <c r="D294">
        <f t="shared" si="14"/>
        <v>0.52075286170693491</v>
      </c>
    </row>
    <row r="295" spans="1:4" x14ac:dyDescent="0.3">
      <c r="A295">
        <v>295</v>
      </c>
      <c r="B295">
        <f t="shared" si="12"/>
        <v>0.56032414062023328</v>
      </c>
      <c r="C295">
        <f t="shared" si="13"/>
        <v>0.84708288748344174</v>
      </c>
      <c r="D295">
        <f t="shared" si="14"/>
        <v>0.53146079980814653</v>
      </c>
    </row>
    <row r="296" spans="1:4" x14ac:dyDescent="0.3">
      <c r="A296">
        <v>296</v>
      </c>
      <c r="B296">
        <f t="shared" si="12"/>
        <v>0.57291569434203593</v>
      </c>
      <c r="C296">
        <f t="shared" si="13"/>
        <v>0.84032399666762514</v>
      </c>
      <c r="D296">
        <f t="shared" si="14"/>
        <v>0.54208447738756471</v>
      </c>
    </row>
    <row r="297" spans="1:4" x14ac:dyDescent="0.3">
      <c r="A297">
        <v>297</v>
      </c>
      <c r="B297">
        <f t="shared" si="12"/>
        <v>0.58550724806383858</v>
      </c>
      <c r="C297">
        <f t="shared" si="13"/>
        <v>0.83343187657420248</v>
      </c>
      <c r="D297">
        <f t="shared" si="14"/>
        <v>0.55262221011284307</v>
      </c>
    </row>
    <row r="298" spans="1:4" x14ac:dyDescent="0.3">
      <c r="A298">
        <v>298</v>
      </c>
      <c r="B298">
        <f t="shared" si="12"/>
        <v>0.59809880178564168</v>
      </c>
      <c r="C298">
        <f t="shared" si="13"/>
        <v>0.82640761991525236</v>
      </c>
      <c r="D298">
        <f t="shared" si="14"/>
        <v>0.56307232727777323</v>
      </c>
    </row>
    <row r="299" spans="1:4" x14ac:dyDescent="0.3">
      <c r="A299">
        <v>299</v>
      </c>
      <c r="B299">
        <f t="shared" si="12"/>
        <v>0.61069035550744433</v>
      </c>
      <c r="C299">
        <f t="shared" si="13"/>
        <v>0.81925234035246286</v>
      </c>
      <c r="D299">
        <f t="shared" si="14"/>
        <v>0.57343317206716626</v>
      </c>
    </row>
    <row r="300" spans="1:4" x14ac:dyDescent="0.3">
      <c r="A300">
        <v>300</v>
      </c>
      <c r="B300">
        <f t="shared" si="12"/>
        <v>0.62328190922924698</v>
      </c>
      <c r="C300">
        <f t="shared" si="13"/>
        <v>0.81196717232056503</v>
      </c>
      <c r="D300">
        <f t="shared" si="14"/>
        <v>0.58370310181953444</v>
      </c>
    </row>
    <row r="301" spans="1:4" x14ac:dyDescent="0.3">
      <c r="A301">
        <v>301</v>
      </c>
      <c r="B301">
        <f t="shared" si="12"/>
        <v>0.63587346295105007</v>
      </c>
      <c r="C301">
        <f t="shared" si="13"/>
        <v>0.80455327084747397</v>
      </c>
      <c r="D301">
        <f t="shared" si="14"/>
        <v>0.59388048828752671</v>
      </c>
    </row>
    <row r="302" spans="1:4" x14ac:dyDescent="0.3">
      <c r="A302">
        <v>302</v>
      </c>
      <c r="B302">
        <f t="shared" si="12"/>
        <v>0.64846501667285272</v>
      </c>
      <c r="C302">
        <f t="shared" si="13"/>
        <v>0.79701181137116583</v>
      </c>
      <c r="D302">
        <f t="shared" si="14"/>
        <v>0.60396371789607795</v>
      </c>
    </row>
    <row r="303" spans="1:4" x14ac:dyDescent="0.3">
      <c r="A303">
        <v>303</v>
      </c>
      <c r="B303">
        <f t="shared" si="12"/>
        <v>0.66105657039465537</v>
      </c>
      <c r="C303">
        <f t="shared" si="13"/>
        <v>0.78934398955331608</v>
      </c>
      <c r="D303">
        <f t="shared" si="14"/>
        <v>0.61395119199823567</v>
      </c>
    </row>
    <row r="304" spans="1:4" x14ac:dyDescent="0.3">
      <c r="A304">
        <v>304</v>
      </c>
      <c r="B304">
        <f t="shared" si="12"/>
        <v>0.67364812411645847</v>
      </c>
      <c r="C304">
        <f t="shared" si="13"/>
        <v>0.7815510210897344</v>
      </c>
      <c r="D304">
        <f t="shared" si="14"/>
        <v>0.62384132712861662</v>
      </c>
    </row>
    <row r="305" spans="1:4" x14ac:dyDescent="0.3">
      <c r="A305">
        <v>305</v>
      </c>
      <c r="B305">
        <f t="shared" si="12"/>
        <v>0.68623967783826112</v>
      </c>
      <c r="C305">
        <f t="shared" si="13"/>
        <v>0.77363414151762222</v>
      </c>
      <c r="D305">
        <f t="shared" si="14"/>
        <v>0.63363255525445639</v>
      </c>
    </row>
    <row r="306" spans="1:4" x14ac:dyDescent="0.3">
      <c r="A306">
        <v>306</v>
      </c>
      <c r="B306">
        <f t="shared" si="12"/>
        <v>0.69883123156006377</v>
      </c>
      <c r="C306">
        <f t="shared" si="13"/>
        <v>0.76559460601968321</v>
      </c>
      <c r="D306">
        <f t="shared" si="14"/>
        <v>0.64332332402421566</v>
      </c>
    </row>
    <row r="307" spans="1:4" x14ac:dyDescent="0.3">
      <c r="A307">
        <v>307</v>
      </c>
      <c r="B307">
        <f t="shared" si="12"/>
        <v>0.71142278528186687</v>
      </c>
      <c r="C307">
        <f t="shared" si="13"/>
        <v>0.75743368922512078</v>
      </c>
      <c r="D307">
        <f t="shared" si="14"/>
        <v>0.65291209701369679</v>
      </c>
    </row>
    <row r="308" spans="1:4" x14ac:dyDescent="0.3">
      <c r="A308">
        <v>308</v>
      </c>
      <c r="B308">
        <f t="shared" si="12"/>
        <v>0.72401433900366952</v>
      </c>
      <c r="C308">
        <f t="shared" si="13"/>
        <v>0.74915268500755272</v>
      </c>
      <c r="D308">
        <f t="shared" si="14"/>
        <v>0.66239735396963551</v>
      </c>
    </row>
    <row r="309" spans="1:4" x14ac:dyDescent="0.3">
      <c r="A309">
        <v>309</v>
      </c>
      <c r="B309">
        <f t="shared" si="12"/>
        <v>0.73660589272547217</v>
      </c>
      <c r="C309">
        <f t="shared" si="13"/>
        <v>0.74075290627987178</v>
      </c>
      <c r="D309">
        <f t="shared" si="14"/>
        <v>0.6717775910507312</v>
      </c>
    </row>
    <row r="310" spans="1:4" x14ac:dyDescent="0.3">
      <c r="A310">
        <v>310</v>
      </c>
      <c r="B310">
        <f t="shared" si="12"/>
        <v>0.74919744644727526</v>
      </c>
      <c r="C310">
        <f t="shared" si="13"/>
        <v>0.73223568478609136</v>
      </c>
      <c r="D310">
        <f t="shared" si="14"/>
        <v>0.68105132106607336</v>
      </c>
    </row>
    <row r="311" spans="1:4" x14ac:dyDescent="0.3">
      <c r="A311">
        <v>311</v>
      </c>
      <c r="B311">
        <f t="shared" si="12"/>
        <v>0.76178900016907791</v>
      </c>
      <c r="C311">
        <f t="shared" si="13"/>
        <v>0.72360237089020418</v>
      </c>
      <c r="D311">
        <f t="shared" si="14"/>
        <v>0.69021707371092711</v>
      </c>
    </row>
    <row r="312" spans="1:4" x14ac:dyDescent="0.3">
      <c r="A312">
        <v>312</v>
      </c>
      <c r="B312">
        <f t="shared" si="12"/>
        <v>0.77438055389088056</v>
      </c>
      <c r="C312">
        <f t="shared" si="13"/>
        <v>0.71485433336208692</v>
      </c>
      <c r="D312">
        <f t="shared" si="14"/>
        <v>0.69927339579984471</v>
      </c>
    </row>
    <row r="313" spans="1:4" x14ac:dyDescent="0.3">
      <c r="A313">
        <v>313</v>
      </c>
      <c r="B313">
        <f t="shared" si="12"/>
        <v>0.78697210761268366</v>
      </c>
      <c r="C313">
        <f t="shared" si="13"/>
        <v>0.70599295916048987</v>
      </c>
      <c r="D313">
        <f t="shared" si="14"/>
        <v>0.7082188514970601</v>
      </c>
    </row>
    <row r="314" spans="1:4" x14ac:dyDescent="0.3">
      <c r="A314">
        <v>314</v>
      </c>
      <c r="B314">
        <f t="shared" si="12"/>
        <v>0.79956366133448631</v>
      </c>
      <c r="C314">
        <f t="shared" si="13"/>
        <v>0.69701965321314163</v>
      </c>
      <c r="D314">
        <f t="shared" si="14"/>
        <v>0.71705202254413303</v>
      </c>
    </row>
    <row r="315" spans="1:4" x14ac:dyDescent="0.3">
      <c r="A315">
        <v>315</v>
      </c>
      <c r="B315">
        <f t="shared" si="12"/>
        <v>0.81215521505628896</v>
      </c>
      <c r="C315">
        <f t="shared" si="13"/>
        <v>0.68793583819400306</v>
      </c>
      <c r="D315">
        <f t="shared" si="14"/>
        <v>0.72577150848480843</v>
      </c>
    </row>
    <row r="316" spans="1:4" x14ac:dyDescent="0.3">
      <c r="A316">
        <v>316</v>
      </c>
      <c r="B316">
        <f t="shared" si="12"/>
        <v>0.82474676877809205</v>
      </c>
      <c r="C316">
        <f t="shared" si="13"/>
        <v>0.67874295429771048</v>
      </c>
      <c r="D316">
        <f t="shared" si="14"/>
        <v>0.73437592688705156</v>
      </c>
    </row>
    <row r="317" spans="1:4" x14ac:dyDescent="0.3">
      <c r="A317">
        <v>317</v>
      </c>
      <c r="B317">
        <f t="shared" si="12"/>
        <v>0.8373383224998947</v>
      </c>
      <c r="C317">
        <f t="shared" si="13"/>
        <v>0.66944245901124033</v>
      </c>
      <c r="D317">
        <f t="shared" si="14"/>
        <v>0.74286391356222425</v>
      </c>
    </row>
    <row r="318" spans="1:4" x14ac:dyDescent="0.3">
      <c r="A318">
        <v>318</v>
      </c>
      <c r="B318">
        <f t="shared" si="12"/>
        <v>0.84992987622169736</v>
      </c>
      <c r="C318">
        <f t="shared" si="13"/>
        <v>0.66003582688283002</v>
      </c>
      <c r="D318">
        <f t="shared" si="14"/>
        <v>0.75123412278137291</v>
      </c>
    </row>
    <row r="319" spans="1:4" x14ac:dyDescent="0.3">
      <c r="A319">
        <v>319</v>
      </c>
      <c r="B319">
        <f t="shared" si="12"/>
        <v>0.86252142994350001</v>
      </c>
      <c r="C319">
        <f t="shared" si="13"/>
        <v>0.65052454928819659</v>
      </c>
      <c r="D319">
        <f t="shared" si="14"/>
        <v>0.7594852274885856</v>
      </c>
    </row>
    <row r="320" spans="1:4" x14ac:dyDescent="0.3">
      <c r="A320">
        <v>320</v>
      </c>
      <c r="B320">
        <f t="shared" si="12"/>
        <v>0.8751129836653031</v>
      </c>
      <c r="C320">
        <f t="shared" si="13"/>
        <v>0.64091013419408605</v>
      </c>
      <c r="D320">
        <f t="shared" si="14"/>
        <v>0.76761591951139119</v>
      </c>
    </row>
    <row r="321" spans="1:4" x14ac:dyDescent="0.3">
      <c r="A321">
        <v>321</v>
      </c>
      <c r="B321">
        <f t="shared" ref="B321:B384" si="15">-3.14159265358979+(A321-1)*0.0125915537218028</f>
        <v>0.8877045373871062</v>
      </c>
      <c r="C321">
        <f t="shared" ref="C321:C384" si="16">1*COS(B321)+0</f>
        <v>0.63119410591919323</v>
      </c>
      <c r="D321">
        <f t="shared" ref="D321:D384" si="17">1*SIN(B321)+0+0*COS(B321)</f>
        <v>0.77562490976816245</v>
      </c>
    </row>
    <row r="322" spans="1:4" x14ac:dyDescent="0.3">
      <c r="A322">
        <v>322</v>
      </c>
      <c r="B322">
        <f t="shared" si="15"/>
        <v>0.9002960911089084</v>
      </c>
      <c r="C322">
        <f t="shared" si="16"/>
        <v>0.6213780048924884</v>
      </c>
      <c r="D322">
        <f t="shared" si="17"/>
        <v>0.78351092847249459</v>
      </c>
    </row>
    <row r="323" spans="1:4" x14ac:dyDescent="0.3">
      <c r="A323">
        <v>323</v>
      </c>
      <c r="B323">
        <f t="shared" si="15"/>
        <v>0.9128876448307115</v>
      </c>
      <c r="C323">
        <f t="shared" si="16"/>
        <v>0.6114633874089872</v>
      </c>
      <c r="D323">
        <f t="shared" si="17"/>
        <v>0.79127272533452508</v>
      </c>
    </row>
    <row r="324" spans="1:4" x14ac:dyDescent="0.3">
      <c r="A324">
        <v>324</v>
      </c>
      <c r="B324">
        <f t="shared" si="15"/>
        <v>0.92547919855251459</v>
      </c>
      <c r="C324">
        <f t="shared" si="16"/>
        <v>0.60145182538301178</v>
      </c>
      <c r="D324">
        <f t="shared" si="17"/>
        <v>0.79890906975915799</v>
      </c>
    </row>
    <row r="325" spans="1:4" x14ac:dyDescent="0.3">
      <c r="A325">
        <v>325</v>
      </c>
      <c r="B325">
        <f t="shared" si="15"/>
        <v>0.9380707522743168</v>
      </c>
      <c r="C325">
        <f t="shared" si="16"/>
        <v>0.5913449060989695</v>
      </c>
      <c r="D325">
        <f t="shared" si="17"/>
        <v>0.80641875104117022</v>
      </c>
    </row>
    <row r="326" spans="1:4" x14ac:dyDescent="0.3">
      <c r="A326">
        <v>326</v>
      </c>
      <c r="B326">
        <f t="shared" si="15"/>
        <v>0.95066230599611989</v>
      </c>
      <c r="C326">
        <f t="shared" si="16"/>
        <v>0.58114423195969445</v>
      </c>
      <c r="D326">
        <f t="shared" si="17"/>
        <v>0.81380057855716526</v>
      </c>
    </row>
    <row r="327" spans="1:4" x14ac:dyDescent="0.3">
      <c r="A327">
        <v>327</v>
      </c>
      <c r="B327">
        <f t="shared" si="15"/>
        <v>0.96325385971792299</v>
      </c>
      <c r="C327">
        <f t="shared" si="16"/>
        <v>0.57085142023239865</v>
      </c>
      <c r="D327">
        <f t="shared" si="17"/>
        <v>0.8210533819543363</v>
      </c>
    </row>
    <row r="328" spans="1:4" x14ac:dyDescent="0.3">
      <c r="A328">
        <v>328</v>
      </c>
      <c r="B328">
        <f t="shared" si="15"/>
        <v>0.9758454134397252</v>
      </c>
      <c r="C328">
        <f t="shared" si="16"/>
        <v>0.56046810279226011</v>
      </c>
      <c r="D328">
        <f t="shared" si="17"/>
        <v>0.82817601133602303</v>
      </c>
    </row>
    <row r="329" spans="1:4" x14ac:dyDescent="0.3">
      <c r="A329">
        <v>329</v>
      </c>
      <c r="B329">
        <f t="shared" si="15"/>
        <v>0.98843696716152829</v>
      </c>
      <c r="C329">
        <f t="shared" si="16"/>
        <v>0.5499959258636945</v>
      </c>
      <c r="D329">
        <f t="shared" si="17"/>
        <v>0.83516733744402227</v>
      </c>
    </row>
    <row r="330" spans="1:4" x14ac:dyDescent="0.3">
      <c r="A330">
        <v>330</v>
      </c>
      <c r="B330">
        <f t="shared" si="15"/>
        <v>1.0010285208833314</v>
      </c>
      <c r="C330">
        <f t="shared" si="16"/>
        <v>0.53943654975935906</v>
      </c>
      <c r="D330">
        <f t="shared" si="17"/>
        <v>0.84202625183762447</v>
      </c>
    </row>
    <row r="331" spans="1:4" x14ac:dyDescent="0.3">
      <c r="A331">
        <v>331</v>
      </c>
      <c r="B331">
        <f t="shared" si="15"/>
        <v>1.0136200746051336</v>
      </c>
      <c r="C331">
        <f t="shared" si="16"/>
        <v>0.52879164861691552</v>
      </c>
      <c r="D331">
        <f t="shared" si="17"/>
        <v>0.84875166706935223</v>
      </c>
    </row>
    <row r="332" spans="1:4" x14ac:dyDescent="0.3">
      <c r="A332">
        <v>332</v>
      </c>
      <c r="B332">
        <f t="shared" si="15"/>
        <v>1.0262116283269367</v>
      </c>
      <c r="C332">
        <f t="shared" si="16"/>
        <v>0.51806291013360184</v>
      </c>
      <c r="D332">
        <f t="shared" si="17"/>
        <v>0.85534251685737195</v>
      </c>
    </row>
    <row r="333" spans="1:4" x14ac:dyDescent="0.3">
      <c r="A333">
        <v>333</v>
      </c>
      <c r="B333">
        <f t="shared" si="15"/>
        <v>1.0388031820487398</v>
      </c>
      <c r="C333">
        <f t="shared" si="16"/>
        <v>0.50725203529866036</v>
      </c>
      <c r="D333">
        <f t="shared" si="17"/>
        <v>0.86179775625454413</v>
      </c>
    </row>
    <row r="334" spans="1:4" x14ac:dyDescent="0.3">
      <c r="A334">
        <v>334</v>
      </c>
      <c r="B334">
        <f t="shared" si="15"/>
        <v>1.051394735770542</v>
      </c>
      <c r="C334">
        <f t="shared" si="16"/>
        <v>0.496360738123652</v>
      </c>
      <c r="D334">
        <f t="shared" si="17"/>
        <v>0.86811636181409657</v>
      </c>
    </row>
    <row r="335" spans="1:4" x14ac:dyDescent="0.3">
      <c r="A335">
        <v>335</v>
      </c>
      <c r="B335">
        <f t="shared" si="15"/>
        <v>1.0639862894923451</v>
      </c>
      <c r="C335">
        <f t="shared" si="16"/>
        <v>0.48539074537070576</v>
      </c>
      <c r="D335">
        <f t="shared" si="17"/>
        <v>0.87429733175188784</v>
      </c>
    </row>
    <row r="336" spans="1:4" x14ac:dyDescent="0.3">
      <c r="A336">
        <v>336</v>
      </c>
      <c r="B336">
        <f t="shared" si="15"/>
        <v>1.0765778432141482</v>
      </c>
      <c r="C336">
        <f t="shared" si="16"/>
        <v>0.4743437962787535</v>
      </c>
      <c r="D336">
        <f t="shared" si="17"/>
        <v>0.88033968610523317</v>
      </c>
    </row>
    <row r="337" spans="1:4" x14ac:dyDescent="0.3">
      <c r="A337">
        <v>337</v>
      </c>
      <c r="B337">
        <f t="shared" si="15"/>
        <v>1.0891693969359504</v>
      </c>
      <c r="C337">
        <f t="shared" si="16"/>
        <v>0.46322164228778012</v>
      </c>
      <c r="D337">
        <f t="shared" si="17"/>
        <v>0.88624246688827313</v>
      </c>
    </row>
    <row r="338" spans="1:4" x14ac:dyDescent="0.3">
      <c r="A338">
        <v>338</v>
      </c>
      <c r="B338">
        <f t="shared" si="15"/>
        <v>1.1017609506577535</v>
      </c>
      <c r="C338">
        <f t="shared" si="16"/>
        <v>0.4520260467611385</v>
      </c>
      <c r="D338">
        <f t="shared" si="17"/>
        <v>0.89200473824385995</v>
      </c>
    </row>
    <row r="339" spans="1:4" x14ac:dyDescent="0.3">
      <c r="A339">
        <v>339</v>
      </c>
      <c r="B339">
        <f t="shared" si="15"/>
        <v>1.1143525043795566</v>
      </c>
      <c r="C339">
        <f t="shared" si="16"/>
        <v>0.44075878470598173</v>
      </c>
      <c r="D339">
        <f t="shared" si="17"/>
        <v>0.89762558659192981</v>
      </c>
    </row>
    <row r="340" spans="1:4" x14ac:dyDescent="0.3">
      <c r="A340">
        <v>340</v>
      </c>
      <c r="B340">
        <f t="shared" si="15"/>
        <v>1.1269440581013588</v>
      </c>
      <c r="C340">
        <f t="shared" si="16"/>
        <v>0.42942164249184217</v>
      </c>
      <c r="D340">
        <f t="shared" si="17"/>
        <v>0.90310412077434821</v>
      </c>
    </row>
    <row r="341" spans="1:4" x14ac:dyDescent="0.3">
      <c r="A341">
        <v>341</v>
      </c>
      <c r="B341">
        <f t="shared" si="15"/>
        <v>1.1395356118231619</v>
      </c>
      <c r="C341">
        <f t="shared" si="16"/>
        <v>0.41801641756740859</v>
      </c>
      <c r="D341">
        <f t="shared" si="17"/>
        <v>0.90843947219619969</v>
      </c>
    </row>
    <row r="342" spans="1:4" x14ac:dyDescent="0.3">
      <c r="A342">
        <v>342</v>
      </c>
      <c r="B342">
        <f t="shared" si="15"/>
        <v>1.152127165544965</v>
      </c>
      <c r="C342">
        <f t="shared" si="16"/>
        <v>0.40654491817555433</v>
      </c>
      <c r="D342">
        <f t="shared" si="17"/>
        <v>0.91363079496349719</v>
      </c>
    </row>
    <row r="343" spans="1:4" x14ac:dyDescent="0.3">
      <c r="A343">
        <v>343</v>
      </c>
      <c r="B343">
        <f t="shared" si="15"/>
        <v>1.1647187192667672</v>
      </c>
      <c r="C343">
        <f t="shared" si="16"/>
        <v>0.39500896306664679</v>
      </c>
      <c r="D343">
        <f t="shared" si="17"/>
        <v>0.91867726601729538</v>
      </c>
    </row>
    <row r="344" spans="1:4" x14ac:dyDescent="0.3">
      <c r="A344">
        <v>344</v>
      </c>
      <c r="B344">
        <f t="shared" si="15"/>
        <v>1.1773102729885703</v>
      </c>
      <c r="C344">
        <f t="shared" si="16"/>
        <v>0.38341038121019116</v>
      </c>
      <c r="D344">
        <f t="shared" si="17"/>
        <v>0.92357808526418372</v>
      </c>
    </row>
    <row r="345" spans="1:4" x14ac:dyDescent="0.3">
      <c r="A345">
        <v>345</v>
      </c>
      <c r="B345">
        <f t="shared" si="15"/>
        <v>1.1899018267103734</v>
      </c>
      <c r="C345">
        <f t="shared" si="16"/>
        <v>0.37175101150486073</v>
      </c>
      <c r="D345">
        <f t="shared" si="17"/>
        <v>0.9283324757031356</v>
      </c>
    </row>
    <row r="346" spans="1:4" x14ac:dyDescent="0.3">
      <c r="A346">
        <v>346</v>
      </c>
      <c r="B346">
        <f t="shared" si="15"/>
        <v>1.2024933804321756</v>
      </c>
      <c r="C346">
        <f t="shared" si="16"/>
        <v>0.3600327024869463</v>
      </c>
      <c r="D346">
        <f t="shared" si="17"/>
        <v>0.93293968354869872</v>
      </c>
    </row>
    <row r="347" spans="1:4" x14ac:dyDescent="0.3">
      <c r="A347">
        <v>347</v>
      </c>
      <c r="B347">
        <f t="shared" si="15"/>
        <v>1.2150849341539787</v>
      </c>
      <c r="C347">
        <f t="shared" si="16"/>
        <v>0.34825731203727722</v>
      </c>
      <c r="D347">
        <f t="shared" si="17"/>
        <v>0.93739897835050501</v>
      </c>
    </row>
    <row r="348" spans="1:4" x14ac:dyDescent="0.3">
      <c r="A348">
        <v>348</v>
      </c>
      <c r="B348">
        <f t="shared" si="15"/>
        <v>1.2276764878757818</v>
      </c>
      <c r="C348">
        <f t="shared" si="16"/>
        <v>0.33642670708666833</v>
      </c>
      <c r="D348">
        <f t="shared" si="17"/>
        <v>0.9417096531090785</v>
      </c>
    </row>
    <row r="349" spans="1:4" x14ac:dyDescent="0.3">
      <c r="A349">
        <v>349</v>
      </c>
      <c r="B349">
        <f t="shared" si="15"/>
        <v>1.240268041597584</v>
      </c>
      <c r="C349">
        <f t="shared" si="16"/>
        <v>0.32454276331992477</v>
      </c>
      <c r="D349">
        <f t="shared" si="17"/>
        <v>0.94587102438792747</v>
      </c>
    </row>
    <row r="350" spans="1:4" x14ac:dyDescent="0.3">
      <c r="A350">
        <v>350</v>
      </c>
      <c r="B350">
        <f t="shared" si="15"/>
        <v>1.2528595953193871</v>
      </c>
      <c r="C350">
        <f t="shared" si="16"/>
        <v>0.31260736487845869</v>
      </c>
      <c r="D350">
        <f t="shared" si="17"/>
        <v>0.9498824324219004</v>
      </c>
    </row>
    <row r="351" spans="1:4" x14ac:dyDescent="0.3">
      <c r="A351">
        <v>351</v>
      </c>
      <c r="B351">
        <f t="shared" si="15"/>
        <v>1.2654511490411902</v>
      </c>
      <c r="C351">
        <f t="shared" si="16"/>
        <v>0.30062240406157281</v>
      </c>
      <c r="D351">
        <f t="shared" si="17"/>
        <v>0.95374324122178733</v>
      </c>
    </row>
    <row r="352" spans="1:4" x14ac:dyDescent="0.3">
      <c r="A352">
        <v>352</v>
      </c>
      <c r="B352">
        <f t="shared" si="15"/>
        <v>1.2780427027629924</v>
      </c>
      <c r="C352">
        <f t="shared" si="16"/>
        <v>0.28858978102644323</v>
      </c>
      <c r="D352">
        <f t="shared" si="17"/>
        <v>0.95745283867515352</v>
      </c>
    </row>
    <row r="353" spans="1:4" x14ac:dyDescent="0.3">
      <c r="A353">
        <v>353</v>
      </c>
      <c r="B353">
        <f t="shared" si="15"/>
        <v>1.2906342564847955</v>
      </c>
      <c r="C353">
        <f t="shared" si="16"/>
        <v>0.27651140348685604</v>
      </c>
      <c r="D353">
        <f t="shared" si="17"/>
        <v>0.96101063664338759</v>
      </c>
    </row>
    <row r="354" spans="1:4" x14ac:dyDescent="0.3">
      <c r="A354">
        <v>354</v>
      </c>
      <c r="B354">
        <f t="shared" si="15"/>
        <v>1.3032258102065986</v>
      </c>
      <c r="C354">
        <f t="shared" si="16"/>
        <v>0.26438918641075382</v>
      </c>
      <c r="D354">
        <f t="shared" si="17"/>
        <v>0.96441607105494653</v>
      </c>
    </row>
    <row r="355" spans="1:4" x14ac:dyDescent="0.3">
      <c r="A355">
        <v>355</v>
      </c>
      <c r="B355">
        <f t="shared" si="15"/>
        <v>1.3158173639284008</v>
      </c>
      <c r="C355">
        <f t="shared" si="16"/>
        <v>0.25222505171662413</v>
      </c>
      <c r="D355">
        <f t="shared" si="17"/>
        <v>0.96766860199478744</v>
      </c>
    </row>
    <row r="356" spans="1:4" x14ac:dyDescent="0.3">
      <c r="A356">
        <v>356</v>
      </c>
      <c r="B356">
        <f t="shared" si="15"/>
        <v>1.3284089176502039</v>
      </c>
      <c r="C356">
        <f t="shared" si="16"/>
        <v>0.24002092796878616</v>
      </c>
      <c r="D356">
        <f t="shared" si="17"/>
        <v>0.97076771378996884</v>
      </c>
    </row>
    <row r="357" spans="1:4" x14ac:dyDescent="0.3">
      <c r="A357">
        <v>357</v>
      </c>
      <c r="B357">
        <f t="shared" si="15"/>
        <v>1.341000471372007</v>
      </c>
      <c r="C357">
        <f t="shared" si="16"/>
        <v>0.22777875007163151</v>
      </c>
      <c r="D357">
        <f t="shared" si="17"/>
        <v>0.97371291509140678</v>
      </c>
    </row>
    <row r="358" spans="1:4" x14ac:dyDescent="0.3">
      <c r="A358">
        <v>358</v>
      </c>
      <c r="B358">
        <f t="shared" si="15"/>
        <v>1.3535920250938092</v>
      </c>
      <c r="C358">
        <f t="shared" si="16"/>
        <v>0.21550045896285175</v>
      </c>
      <c r="D358">
        <f t="shared" si="17"/>
        <v>0.976503738951777</v>
      </c>
    </row>
    <row r="359" spans="1:4" x14ac:dyDescent="0.3">
      <c r="A359">
        <v>359</v>
      </c>
      <c r="B359">
        <f t="shared" si="15"/>
        <v>1.3661835788156123</v>
      </c>
      <c r="C359">
        <f t="shared" si="16"/>
        <v>0.20318800130570971</v>
      </c>
      <c r="D359">
        <f t="shared" si="17"/>
        <v>0.97913974289954697</v>
      </c>
    </row>
    <row r="360" spans="1:4" x14ac:dyDescent="0.3">
      <c r="A360">
        <v>360</v>
      </c>
      <c r="B360">
        <f t="shared" si="15"/>
        <v>1.3787751325374153</v>
      </c>
      <c r="C360">
        <f t="shared" si="16"/>
        <v>0.19084332918041072</v>
      </c>
      <c r="D360">
        <f t="shared" si="17"/>
        <v>0.9816205090091269</v>
      </c>
    </row>
    <row r="361" spans="1:4" x14ac:dyDescent="0.3">
      <c r="A361">
        <v>361</v>
      </c>
      <c r="B361">
        <f t="shared" si="15"/>
        <v>1.3913666862592176</v>
      </c>
      <c r="C361">
        <f t="shared" si="16"/>
        <v>0.17846839977460716</v>
      </c>
      <c r="D361">
        <f t="shared" si="17"/>
        <v>0.98394564396713047</v>
      </c>
    </row>
    <row r="362" spans="1:4" x14ac:dyDescent="0.3">
      <c r="A362">
        <v>362</v>
      </c>
      <c r="B362">
        <f t="shared" si="15"/>
        <v>1.4039582399810207</v>
      </c>
      <c r="C362">
        <f t="shared" si="16"/>
        <v>0.16606517507309324</v>
      </c>
      <c r="D362">
        <f t="shared" si="17"/>
        <v>0.98611477913473278</v>
      </c>
    </row>
    <row r="363" spans="1:4" x14ac:dyDescent="0.3">
      <c r="A363">
        <v>363</v>
      </c>
      <c r="B363">
        <f t="shared" si="15"/>
        <v>1.4165497937028237</v>
      </c>
      <c r="C363">
        <f t="shared" si="16"/>
        <v>0.15363562154674718</v>
      </c>
      <c r="D363">
        <f t="shared" si="17"/>
        <v>0.988127570606116</v>
      </c>
    </row>
    <row r="364" spans="1:4" x14ac:dyDescent="0.3">
      <c r="A364">
        <v>364</v>
      </c>
      <c r="B364">
        <f t="shared" si="15"/>
        <v>1.429141347424626</v>
      </c>
      <c r="C364">
        <f t="shared" si="16"/>
        <v>0.14118170984075415</v>
      </c>
      <c r="D364">
        <f t="shared" si="17"/>
        <v>0.98998369926299346</v>
      </c>
    </row>
    <row r="365" spans="1:4" x14ac:dyDescent="0.3">
      <c r="A365">
        <v>365</v>
      </c>
      <c r="B365">
        <f t="shared" si="15"/>
        <v>1.441732901146429</v>
      </c>
      <c r="C365">
        <f t="shared" si="16"/>
        <v>0.12870541446216746</v>
      </c>
      <c r="D365">
        <f t="shared" si="17"/>
        <v>0.99168287082520579</v>
      </c>
    </row>
    <row r="366" spans="1:4" x14ac:dyDescent="0.3">
      <c r="A366">
        <v>366</v>
      </c>
      <c r="B366">
        <f t="shared" si="15"/>
        <v>1.4543244548682321</v>
      </c>
      <c r="C366">
        <f t="shared" si="16"/>
        <v>0.11620871346686536</v>
      </c>
      <c r="D366">
        <f t="shared" si="17"/>
        <v>0.99322481589737577</v>
      </c>
    </row>
    <row r="367" spans="1:4" x14ac:dyDescent="0.3">
      <c r="A367">
        <v>367</v>
      </c>
      <c r="B367">
        <f t="shared" si="15"/>
        <v>1.4669160085900343</v>
      </c>
      <c r="C367">
        <f t="shared" si="16"/>
        <v>0.10369358814593721</v>
      </c>
      <c r="D367">
        <f t="shared" si="17"/>
        <v>0.99460929001162102</v>
      </c>
    </row>
    <row r="368" spans="1:4" x14ac:dyDescent="0.3">
      <c r="A368">
        <v>368</v>
      </c>
      <c r="B368">
        <f t="shared" si="15"/>
        <v>1.4795075623118374</v>
      </c>
      <c r="C368">
        <f t="shared" si="16"/>
        <v>9.1162022711556878E-2</v>
      </c>
      <c r="D368">
        <f t="shared" si="17"/>
        <v>0.99583607366631266</v>
      </c>
    </row>
    <row r="369" spans="1:4" x14ac:dyDescent="0.3">
      <c r="A369">
        <v>369</v>
      </c>
      <c r="B369">
        <f t="shared" si="15"/>
        <v>1.4920991160336405</v>
      </c>
      <c r="C369">
        <f t="shared" si="16"/>
        <v>7.8616003982400817E-2</v>
      </c>
      <c r="D369">
        <f t="shared" si="17"/>
        <v>0.99690497236087605</v>
      </c>
    </row>
    <row r="370" spans="1:4" x14ac:dyDescent="0.3">
      <c r="A370">
        <v>370</v>
      </c>
      <c r="B370">
        <f t="shared" si="15"/>
        <v>1.5046906697554427</v>
      </c>
      <c r="C370">
        <f t="shared" si="16"/>
        <v>6.6057521068644959E-2</v>
      </c>
      <c r="D370">
        <f t="shared" si="17"/>
        <v>0.99781581662662855</v>
      </c>
    </row>
    <row r="371" spans="1:4" x14ac:dyDescent="0.3">
      <c r="A371">
        <v>371</v>
      </c>
      <c r="B371">
        <f t="shared" si="15"/>
        <v>1.5172822234772458</v>
      </c>
      <c r="C371">
        <f t="shared" si="16"/>
        <v>5.3488565056598353E-2</v>
      </c>
      <c r="D371">
        <f t="shared" si="17"/>
        <v>0.99856846205364713</v>
      </c>
    </row>
    <row r="372" spans="1:4" x14ac:dyDescent="0.3">
      <c r="A372">
        <v>372</v>
      </c>
      <c r="B372">
        <f t="shared" si="15"/>
        <v>1.5298737771990489</v>
      </c>
      <c r="C372">
        <f t="shared" si="16"/>
        <v>4.091112869303147E-2</v>
      </c>
      <c r="D372">
        <f t="shared" si="17"/>
        <v>0.99916278931366442</v>
      </c>
    </row>
    <row r="373" spans="1:4" x14ac:dyDescent="0.3">
      <c r="A373">
        <v>373</v>
      </c>
      <c r="B373">
        <f t="shared" si="15"/>
        <v>1.5424653309208511</v>
      </c>
      <c r="C373">
        <f t="shared" si="16"/>
        <v>2.8327206069233189E-2</v>
      </c>
      <c r="D373">
        <f t="shared" si="17"/>
        <v>0.99959870417898766</v>
      </c>
    </row>
    <row r="374" spans="1:4" x14ac:dyDescent="0.3">
      <c r="A374">
        <v>374</v>
      </c>
      <c r="B374">
        <f t="shared" si="15"/>
        <v>1.5550568846426542</v>
      </c>
      <c r="C374">
        <f t="shared" si="16"/>
        <v>1.5738792304854712E-2</v>
      </c>
      <c r="D374">
        <f t="shared" si="17"/>
        <v>0.99987613753743754</v>
      </c>
    </row>
    <row r="375" spans="1:4" x14ac:dyDescent="0.3">
      <c r="A375">
        <v>375</v>
      </c>
      <c r="B375">
        <f t="shared" si="15"/>
        <v>1.5676484383644573</v>
      </c>
      <c r="C375">
        <f t="shared" si="16"/>
        <v>3.1478832315983678E-3</v>
      </c>
      <c r="D375">
        <f t="shared" si="17"/>
        <v>0.99999504540330608</v>
      </c>
    </row>
    <row r="376" spans="1:4" x14ac:dyDescent="0.3">
      <c r="A376">
        <v>376</v>
      </c>
      <c r="B376">
        <f t="shared" si="15"/>
        <v>1.5802399920862595</v>
      </c>
      <c r="C376">
        <f t="shared" si="16"/>
        <v>-9.4435249232144355E-3</v>
      </c>
      <c r="D376">
        <f t="shared" si="17"/>
        <v>0.99995540892433032</v>
      </c>
    </row>
    <row r="377" spans="1:4" x14ac:dyDescent="0.3">
      <c r="A377">
        <v>377</v>
      </c>
      <c r="B377">
        <f t="shared" si="15"/>
        <v>1.5928315458080626</v>
      </c>
      <c r="C377">
        <f t="shared" si="16"/>
        <v>-2.2033435853138009E-2</v>
      </c>
      <c r="D377">
        <f t="shared" si="17"/>
        <v>0.99975723438468078</v>
      </c>
    </row>
    <row r="378" spans="1:4" x14ac:dyDescent="0.3">
      <c r="A378">
        <v>378</v>
      </c>
      <c r="B378">
        <f t="shared" si="15"/>
        <v>1.6054230995298657</v>
      </c>
      <c r="C378">
        <f t="shared" si="16"/>
        <v>-3.461985348910171E-2</v>
      </c>
      <c r="D378">
        <f t="shared" si="17"/>
        <v>0.99940055320396592</v>
      </c>
    </row>
    <row r="379" spans="1:4" x14ac:dyDescent="0.3">
      <c r="A379">
        <v>379</v>
      </c>
      <c r="B379">
        <f t="shared" si="15"/>
        <v>1.6180146532516679</v>
      </c>
      <c r="C379">
        <f t="shared" si="16"/>
        <v>-4.7200782315879652E-2</v>
      </c>
      <c r="D379">
        <f t="shared" si="17"/>
        <v>0.99888542193224994</v>
      </c>
    </row>
    <row r="380" spans="1:4" x14ac:dyDescent="0.3">
      <c r="A380">
        <v>380</v>
      </c>
      <c r="B380">
        <f t="shared" si="15"/>
        <v>1.630606206973471</v>
      </c>
      <c r="C380">
        <f t="shared" si="16"/>
        <v>-5.977422768847257E-2</v>
      </c>
      <c r="D380">
        <f t="shared" si="17"/>
        <v>0.99821192224108735</v>
      </c>
    </row>
    <row r="381" spans="1:4" x14ac:dyDescent="0.3">
      <c r="A381">
        <v>381</v>
      </c>
      <c r="B381">
        <f t="shared" si="15"/>
        <v>1.6431977606952741</v>
      </c>
      <c r="C381">
        <f t="shared" si="16"/>
        <v>-7.2338196148343761E-2</v>
      </c>
      <c r="D381">
        <f t="shared" si="17"/>
        <v>0.99738016091057469</v>
      </c>
    </row>
    <row r="382" spans="1:4" x14ac:dyDescent="0.3">
      <c r="A382">
        <v>382</v>
      </c>
      <c r="B382">
        <f t="shared" si="15"/>
        <v>1.6557893144170763</v>
      </c>
      <c r="C382">
        <f t="shared" si="16"/>
        <v>-8.4890695739474886E-2</v>
      </c>
      <c r="D382">
        <f t="shared" si="17"/>
        <v>0.9963902698124204</v>
      </c>
    </row>
    <row r="383" spans="1:4" x14ac:dyDescent="0.3">
      <c r="A383">
        <v>383</v>
      </c>
      <c r="B383">
        <f t="shared" si="15"/>
        <v>1.6683808681388794</v>
      </c>
      <c r="C383">
        <f t="shared" si="16"/>
        <v>-9.7429736324183544E-2</v>
      </c>
      <c r="D383">
        <f t="shared" si="17"/>
        <v>0.99524240588903767</v>
      </c>
    </row>
    <row r="384" spans="1:4" x14ac:dyDescent="0.3">
      <c r="A384">
        <v>384</v>
      </c>
      <c r="B384">
        <f t="shared" si="15"/>
        <v>1.6809724218606825</v>
      </c>
      <c r="C384">
        <f t="shared" si="16"/>
        <v>-0.10995332989864461</v>
      </c>
      <c r="D384">
        <f t="shared" si="17"/>
        <v>0.99393675112866198</v>
      </c>
    </row>
    <row r="385" spans="1:4" x14ac:dyDescent="0.3">
      <c r="A385">
        <v>385</v>
      </c>
      <c r="B385">
        <f t="shared" ref="B385:B448" si="18">-3.14159265358979+(A385-1)*0.0125915537218028</f>
        <v>1.6935639755824847</v>
      </c>
      <c r="C385">
        <f t="shared" ref="C385:C448" si="19">1*COS(B385)+0</f>
        <v>-0.12245949090808123</v>
      </c>
      <c r="D385">
        <f t="shared" ref="D385:D448" si="20">1*SIN(B385)+0+0*COS(B385)</f>
        <v>0.99247351253649763</v>
      </c>
    </row>
    <row r="386" spans="1:4" x14ac:dyDescent="0.3">
      <c r="A386">
        <v>386</v>
      </c>
      <c r="B386">
        <f t="shared" si="18"/>
        <v>1.7061555293042878</v>
      </c>
      <c r="C386">
        <f t="shared" si="19"/>
        <v>-0.13494623656156748</v>
      </c>
      <c r="D386">
        <f t="shared" si="20"/>
        <v>0.99085292210189779</v>
      </c>
    </row>
    <row r="387" spans="1:4" x14ac:dyDescent="0.3">
      <c r="A387">
        <v>387</v>
      </c>
      <c r="B387">
        <f t="shared" si="18"/>
        <v>1.7187470830260909</v>
      </c>
      <c r="C387">
        <f t="shared" si="19"/>
        <v>-0.14741158714638491</v>
      </c>
      <c r="D387">
        <f t="shared" si="20"/>
        <v>0.98907523676158415</v>
      </c>
    </row>
    <row r="388" spans="1:4" x14ac:dyDescent="0.3">
      <c r="A388">
        <v>388</v>
      </c>
      <c r="B388">
        <f t="shared" si="18"/>
        <v>1.731338636747894</v>
      </c>
      <c r="C388">
        <f t="shared" si="19"/>
        <v>-0.15985356634189996</v>
      </c>
      <c r="D388">
        <f t="shared" si="20"/>
        <v>0.98714073835891092</v>
      </c>
    </row>
    <row r="389" spans="1:4" x14ac:dyDescent="0.3">
      <c r="A389">
        <v>389</v>
      </c>
      <c r="B389">
        <f t="shared" si="18"/>
        <v>1.7439301904696962</v>
      </c>
      <c r="C389">
        <f t="shared" si="19"/>
        <v>-0.17227020153289807</v>
      </c>
      <c r="D389">
        <f t="shared" si="20"/>
        <v>0.98504973359917958</v>
      </c>
    </row>
    <row r="390" spans="1:4" x14ac:dyDescent="0.3">
      <c r="A390">
        <v>390</v>
      </c>
      <c r="B390">
        <f t="shared" si="18"/>
        <v>1.7565217441914993</v>
      </c>
      <c r="C390">
        <f t="shared" si="19"/>
        <v>-0.18465952412233588</v>
      </c>
      <c r="D390">
        <f t="shared" si="20"/>
        <v>0.98280255400101213</v>
      </c>
    </row>
    <row r="391" spans="1:4" x14ac:dyDescent="0.3">
      <c r="A391">
        <v>391</v>
      </c>
      <c r="B391">
        <f t="shared" si="18"/>
        <v>1.7691132979133024</v>
      </c>
      <c r="C391">
        <f t="shared" si="19"/>
        <v>-0.1970195698434474</v>
      </c>
      <c r="D391">
        <f t="shared" si="20"/>
        <v>0.98039955584379113</v>
      </c>
    </row>
    <row r="392" spans="1:4" x14ac:dyDescent="0.3">
      <c r="A392">
        <v>392</v>
      </c>
      <c r="B392">
        <f t="shared" si="18"/>
        <v>1.7817048516351046</v>
      </c>
      <c r="C392">
        <f t="shared" si="19"/>
        <v>-0.20934837907117143</v>
      </c>
      <c r="D392">
        <f t="shared" si="20"/>
        <v>0.97784112011117286</v>
      </c>
    </row>
    <row r="393" spans="1:4" x14ac:dyDescent="0.3">
      <c r="A393">
        <v>393</v>
      </c>
      <c r="B393">
        <f t="shared" si="18"/>
        <v>1.7942964053569077</v>
      </c>
      <c r="C393">
        <f t="shared" si="19"/>
        <v>-0.22164399713284344</v>
      </c>
      <c r="D393">
        <f t="shared" si="20"/>
        <v>0.97512765243068356</v>
      </c>
    </row>
    <row r="394" spans="1:4" x14ac:dyDescent="0.3">
      <c r="A394">
        <v>394</v>
      </c>
      <c r="B394">
        <f t="shared" si="18"/>
        <v>1.8068879590787108</v>
      </c>
      <c r="C394">
        <f t="shared" si="19"/>
        <v>-0.23390447461809394</v>
      </c>
      <c r="D394">
        <f t="shared" si="20"/>
        <v>0.97225958300941084</v>
      </c>
    </row>
    <row r="395" spans="1:4" x14ac:dyDescent="0.3">
      <c r="A395">
        <v>395</v>
      </c>
      <c r="B395">
        <f t="shared" si="18"/>
        <v>1.819479512800513</v>
      </c>
      <c r="C395">
        <f t="shared" si="19"/>
        <v>-0.24612786768792078</v>
      </c>
      <c r="D395">
        <f t="shared" si="20"/>
        <v>0.96923736656579507</v>
      </c>
    </row>
    <row r="396" spans="1:4" x14ac:dyDescent="0.3">
      <c r="A396">
        <v>396</v>
      </c>
      <c r="B396">
        <f t="shared" si="18"/>
        <v>1.8320710665223161</v>
      </c>
      <c r="C396">
        <f t="shared" si="19"/>
        <v>-0.25831223838287781</v>
      </c>
      <c r="D396">
        <f t="shared" si="20"/>
        <v>0.96606148225753585</v>
      </c>
    </row>
    <row r="397" spans="1:4" x14ac:dyDescent="0.3">
      <c r="A397">
        <v>397</v>
      </c>
      <c r="B397">
        <f t="shared" si="18"/>
        <v>1.8446626202441192</v>
      </c>
      <c r="C397">
        <f t="shared" si="19"/>
        <v>-0.27045565493032381</v>
      </c>
      <c r="D397">
        <f t="shared" si="20"/>
        <v>0.96273243360562522</v>
      </c>
    </row>
    <row r="398" spans="1:4" x14ac:dyDescent="0.3">
      <c r="A398">
        <v>398</v>
      </c>
      <c r="B398">
        <f t="shared" si="18"/>
        <v>1.8572541739659214</v>
      </c>
      <c r="C398">
        <f t="shared" si="19"/>
        <v>-0.28255619205069837</v>
      </c>
      <c r="D398">
        <f t="shared" si="20"/>
        <v>0.95925074841451585</v>
      </c>
    </row>
    <row r="399" spans="1:4" x14ac:dyDescent="0.3">
      <c r="A399">
        <v>399</v>
      </c>
      <c r="B399">
        <f t="shared" si="18"/>
        <v>1.8698457276877245</v>
      </c>
      <c r="C399">
        <f t="shared" si="19"/>
        <v>-0.29461193126276775</v>
      </c>
      <c r="D399">
        <f t="shared" si="20"/>
        <v>0.95561697868843987</v>
      </c>
    </row>
    <row r="400" spans="1:4" x14ac:dyDescent="0.3">
      <c r="A400">
        <v>400</v>
      </c>
      <c r="B400">
        <f t="shared" si="18"/>
        <v>1.8824372814095276</v>
      </c>
      <c r="C400">
        <f t="shared" si="19"/>
        <v>-0.30662096118778609</v>
      </c>
      <c r="D400">
        <f t="shared" si="20"/>
        <v>0.95183170054389243</v>
      </c>
    </row>
    <row r="401" spans="1:4" x14ac:dyDescent="0.3">
      <c r="A401">
        <v>401</v>
      </c>
      <c r="B401">
        <f t="shared" si="18"/>
        <v>1.8950288351313298</v>
      </c>
      <c r="C401">
        <f t="shared" si="19"/>
        <v>-0.31858137785253743</v>
      </c>
      <c r="D401">
        <f t="shared" si="20"/>
        <v>0.94789551411829076</v>
      </c>
    </row>
    <row r="402" spans="1:4" x14ac:dyDescent="0.3">
      <c r="A402">
        <v>402</v>
      </c>
      <c r="B402">
        <f t="shared" si="18"/>
        <v>1.9076203888531329</v>
      </c>
      <c r="C402">
        <f t="shared" si="19"/>
        <v>-0.330491284991204</v>
      </c>
      <c r="D402">
        <f t="shared" si="20"/>
        <v>0.94380904347482431</v>
      </c>
    </row>
    <row r="403" spans="1:4" x14ac:dyDescent="0.3">
      <c r="A403">
        <v>403</v>
      </c>
      <c r="B403">
        <f t="shared" si="18"/>
        <v>1.920211942574936</v>
      </c>
      <c r="C403">
        <f t="shared" si="19"/>
        <v>-0.34234879434600496</v>
      </c>
      <c r="D403">
        <f t="shared" si="20"/>
        <v>0.93957293650351426</v>
      </c>
    </row>
    <row r="404" spans="1:4" x14ac:dyDescent="0.3">
      <c r="A404">
        <v>404</v>
      </c>
      <c r="B404">
        <f t="shared" si="18"/>
        <v>1.9328034962967382</v>
      </c>
      <c r="C404">
        <f t="shared" si="19"/>
        <v>-0.35415202596657297</v>
      </c>
      <c r="D404">
        <f t="shared" si="20"/>
        <v>0.93518786481849292</v>
      </c>
    </row>
    <row r="405" spans="1:4" x14ac:dyDescent="0.3">
      <c r="A405">
        <v>405</v>
      </c>
      <c r="B405">
        <f t="shared" si="18"/>
        <v>1.9453950500185413</v>
      </c>
      <c r="C405">
        <f t="shared" si="19"/>
        <v>-0.3658991085080136</v>
      </c>
      <c r="D405">
        <f t="shared" si="20"/>
        <v>0.93065452365152179</v>
      </c>
    </row>
    <row r="406" spans="1:4" x14ac:dyDescent="0.3">
      <c r="A406">
        <v>406</v>
      </c>
      <c r="B406">
        <f t="shared" si="18"/>
        <v>1.9579866037403444</v>
      </c>
      <c r="C406">
        <f t="shared" si="19"/>
        <v>-0.37758817952759294</v>
      </c>
      <c r="D406">
        <f t="shared" si="20"/>
        <v>0.92597363174176739</v>
      </c>
    </row>
    <row r="407" spans="1:4" x14ac:dyDescent="0.3">
      <c r="A407">
        <v>407</v>
      </c>
      <c r="B407">
        <f t="shared" si="18"/>
        <v>1.9705781574621466</v>
      </c>
      <c r="C407">
        <f t="shared" si="19"/>
        <v>-0.38921738578002152</v>
      </c>
      <c r="D407">
        <f t="shared" si="20"/>
        <v>0.92114593122184818</v>
      </c>
    </row>
    <row r="408" spans="1:4" x14ac:dyDescent="0.3">
      <c r="A408">
        <v>408</v>
      </c>
      <c r="B408">
        <f t="shared" si="18"/>
        <v>1.9831697111839497</v>
      </c>
      <c r="C408">
        <f t="shared" si="19"/>
        <v>-0.40078488351127955</v>
      </c>
      <c r="D408">
        <f t="shared" si="20"/>
        <v>0.91617218750017182</v>
      </c>
    </row>
    <row r="409" spans="1:4" x14ac:dyDescent="0.3">
      <c r="A409">
        <v>409</v>
      </c>
      <c r="B409">
        <f t="shared" si="18"/>
        <v>1.9957612649057528</v>
      </c>
      <c r="C409">
        <f t="shared" si="19"/>
        <v>-0.41228883875093031</v>
      </c>
      <c r="D409">
        <f t="shared" si="20"/>
        <v>0.91105318913958555</v>
      </c>
    </row>
    <row r="410" spans="1:4" x14ac:dyDescent="0.3">
      <c r="A410">
        <v>410</v>
      </c>
      <c r="B410">
        <f t="shared" si="18"/>
        <v>2.008352818627555</v>
      </c>
      <c r="C410">
        <f t="shared" si="19"/>
        <v>-0.42372742760288978</v>
      </c>
      <c r="D410">
        <f t="shared" si="20"/>
        <v>0.90578974773235199</v>
      </c>
    </row>
    <row r="411" spans="1:4" x14ac:dyDescent="0.3">
      <c r="A411">
        <v>411</v>
      </c>
      <c r="B411">
        <f t="shared" si="18"/>
        <v>2.0209443723493581</v>
      </c>
      <c r="C411">
        <f t="shared" si="19"/>
        <v>-0.43509883653459874</v>
      </c>
      <c r="D411">
        <f t="shared" si="20"/>
        <v>0.90038269777147462</v>
      </c>
    </row>
    <row r="412" spans="1:4" x14ac:dyDescent="0.3">
      <c r="A412">
        <v>412</v>
      </c>
      <c r="B412">
        <f t="shared" si="18"/>
        <v>2.0335359260711612</v>
      </c>
      <c r="C412">
        <f t="shared" si="19"/>
        <v>-0.44640126266454477</v>
      </c>
      <c r="D412">
        <f t="shared" si="20"/>
        <v>0.8948328965183947</v>
      </c>
    </row>
    <row r="413" spans="1:4" x14ac:dyDescent="0.3">
      <c r="A413">
        <v>413</v>
      </c>
      <c r="B413">
        <f t="shared" si="18"/>
        <v>2.0461274797929634</v>
      </c>
      <c r="C413">
        <f t="shared" si="19"/>
        <v>-0.45763291404810286</v>
      </c>
      <c r="D413">
        <f t="shared" si="20"/>
        <v>0.88914122386707595</v>
      </c>
    </row>
    <row r="414" spans="1:4" x14ac:dyDescent="0.3">
      <c r="A414">
        <v>414</v>
      </c>
      <c r="B414">
        <f t="shared" si="18"/>
        <v>2.0587190335147665</v>
      </c>
      <c r="C414">
        <f t="shared" si="19"/>
        <v>-0.46879200996164166</v>
      </c>
      <c r="D414">
        <f t="shared" si="20"/>
        <v>0.88330858220450004</v>
      </c>
    </row>
    <row r="415" spans="1:4" x14ac:dyDescent="0.3">
      <c r="A415">
        <v>415</v>
      </c>
      <c r="B415">
        <f t="shared" si="18"/>
        <v>2.0713105872365696</v>
      </c>
      <c r="C415">
        <f t="shared" si="19"/>
        <v>-0.47987678118484395</v>
      </c>
      <c r="D415">
        <f t="shared" si="20"/>
        <v>0.87733589626760022</v>
      </c>
    </row>
    <row r="416" spans="1:4" x14ac:dyDescent="0.3">
      <c r="A416">
        <v>416</v>
      </c>
      <c r="B416">
        <f t="shared" si="18"/>
        <v>2.0839021409583718</v>
      </c>
      <c r="C416">
        <f t="shared" si="19"/>
        <v>-0.49088547028121021</v>
      </c>
      <c r="D416">
        <f t="shared" si="20"/>
        <v>0.87122411299664748</v>
      </c>
    </row>
    <row r="417" spans="1:4" x14ac:dyDescent="0.3">
      <c r="A417">
        <v>417</v>
      </c>
      <c r="B417">
        <f t="shared" si="18"/>
        <v>2.0964936946801749</v>
      </c>
      <c r="C417">
        <f t="shared" si="19"/>
        <v>-0.50181633187669406</v>
      </c>
      <c r="D417">
        <f t="shared" si="20"/>
        <v>0.86497420138511627</v>
      </c>
    </row>
    <row r="418" spans="1:4" x14ac:dyDescent="0.3">
      <c r="A418">
        <v>418</v>
      </c>
      <c r="B418">
        <f t="shared" si="18"/>
        <v>2.109085248401978</v>
      </c>
      <c r="C418">
        <f t="shared" si="19"/>
        <v>-0.51266763293641782</v>
      </c>
      <c r="D418">
        <f t="shared" si="20"/>
        <v>0.85858715232605853</v>
      </c>
    </row>
    <row r="419" spans="1:4" x14ac:dyDescent="0.3">
      <c r="A419">
        <v>419</v>
      </c>
      <c r="B419">
        <f t="shared" si="18"/>
        <v>2.1216768021237802</v>
      </c>
      <c r="C419">
        <f t="shared" si="19"/>
        <v>-0.52343765303943968</v>
      </c>
      <c r="D419">
        <f t="shared" si="20"/>
        <v>0.85206397845500026</v>
      </c>
    </row>
    <row r="420" spans="1:4" x14ac:dyDescent="0.3">
      <c r="A420">
        <v>420</v>
      </c>
      <c r="B420">
        <f t="shared" si="18"/>
        <v>2.1342683558455833</v>
      </c>
      <c r="C420">
        <f t="shared" si="19"/>
        <v>-0.53412468465151974</v>
      </c>
      <c r="D420">
        <f t="shared" si="20"/>
        <v>0.84540571398939246</v>
      </c>
    </row>
    <row r="421" spans="1:4" x14ac:dyDescent="0.3">
      <c r="A421">
        <v>421</v>
      </c>
      <c r="B421">
        <f t="shared" si="18"/>
        <v>2.1468599095673864</v>
      </c>
      <c r="C421">
        <f t="shared" si="19"/>
        <v>-0.54472703339583717</v>
      </c>
      <c r="D421">
        <f t="shared" si="20"/>
        <v>0.83861341456464344</v>
      </c>
    </row>
    <row r="422" spans="1:4" x14ac:dyDescent="0.3">
      <c r="A422">
        <v>422</v>
      </c>
      <c r="B422">
        <f t="shared" si="18"/>
        <v>2.1594514632891886</v>
      </c>
      <c r="C422">
        <f t="shared" si="19"/>
        <v>-0.55524301832162715</v>
      </c>
      <c r="D422">
        <f t="shared" si="20"/>
        <v>0.83168815706675137</v>
      </c>
    </row>
    <row r="423" spans="1:4" x14ac:dyDescent="0.3">
      <c r="A423">
        <v>423</v>
      </c>
      <c r="B423">
        <f t="shared" si="18"/>
        <v>2.1720430170109917</v>
      </c>
      <c r="C423">
        <f t="shared" si="19"/>
        <v>-0.56567097217069007</v>
      </c>
      <c r="D423">
        <f t="shared" si="20"/>
        <v>0.82463103946156813</v>
      </c>
    </row>
    <row r="424" spans="1:4" x14ac:dyDescent="0.3">
      <c r="A424">
        <v>424</v>
      </c>
      <c r="B424">
        <f t="shared" si="18"/>
        <v>2.1846345707327948</v>
      </c>
      <c r="C424">
        <f t="shared" si="19"/>
        <v>-0.57600924164172285</v>
      </c>
      <c r="D424">
        <f t="shared" si="20"/>
        <v>0.81744318062072507</v>
      </c>
    </row>
    <row r="425" spans="1:4" x14ac:dyDescent="0.3">
      <c r="A425">
        <v>425</v>
      </c>
      <c r="B425">
        <f t="shared" si="18"/>
        <v>2.197226124454597</v>
      </c>
      <c r="C425">
        <f t="shared" si="19"/>
        <v>-0.58625618765244358</v>
      </c>
      <c r="D425">
        <f t="shared" si="20"/>
        <v>0.81012572014423967</v>
      </c>
    </row>
    <row r="426" spans="1:4" x14ac:dyDescent="0.3">
      <c r="A426">
        <v>426</v>
      </c>
      <c r="B426">
        <f t="shared" si="18"/>
        <v>2.2098176781764001</v>
      </c>
      <c r="C426">
        <f t="shared" si="19"/>
        <v>-0.59641018559946257</v>
      </c>
      <c r="D426">
        <f t="shared" si="20"/>
        <v>0.80267981817983602</v>
      </c>
    </row>
    <row r="427" spans="1:4" x14ac:dyDescent="0.3">
      <c r="A427">
        <v>427</v>
      </c>
      <c r="B427">
        <f t="shared" si="18"/>
        <v>2.2224092318982032</v>
      </c>
      <c r="C427">
        <f t="shared" si="19"/>
        <v>-0.60646962561585072</v>
      </c>
      <c r="D427">
        <f t="shared" si="20"/>
        <v>0.79510665523901247</v>
      </c>
    </row>
    <row r="428" spans="1:4" x14ac:dyDescent="0.3">
      <c r="A428">
        <v>428</v>
      </c>
      <c r="B428">
        <f t="shared" si="18"/>
        <v>2.2350007856200054</v>
      </c>
      <c r="C428">
        <f t="shared" si="19"/>
        <v>-0.61643291282637847</v>
      </c>
      <c r="D428">
        <f t="shared" si="20"/>
        <v>0.7874074320098754</v>
      </c>
    </row>
    <row r="429" spans="1:4" x14ac:dyDescent="0.3">
      <c r="A429">
        <v>429</v>
      </c>
      <c r="B429">
        <f t="shared" si="18"/>
        <v>2.2475923393418085</v>
      </c>
      <c r="C429">
        <f t="shared" si="19"/>
        <v>-0.62629846760037755</v>
      </c>
      <c r="D429">
        <f t="shared" si="20"/>
        <v>0.77958336916677407</v>
      </c>
    </row>
    <row r="430" spans="1:4" x14ac:dyDescent="0.3">
      <c r="A430">
        <v>430</v>
      </c>
      <c r="B430">
        <f t="shared" si="18"/>
        <v>2.2601838930636116</v>
      </c>
      <c r="C430">
        <f t="shared" si="19"/>
        <v>-0.63606472580217954</v>
      </c>
      <c r="D430">
        <f t="shared" si="20"/>
        <v>0.77163570717677277</v>
      </c>
    </row>
    <row r="431" spans="1:4" x14ac:dyDescent="0.3">
      <c r="A431">
        <v>431</v>
      </c>
      <c r="B431">
        <f t="shared" si="18"/>
        <v>2.2727754467854138</v>
      </c>
      <c r="C431">
        <f t="shared" si="19"/>
        <v>-0.64573013903910359</v>
      </c>
      <c r="D431">
        <f t="shared" si="20"/>
        <v>0.76356570610297836</v>
      </c>
    </row>
    <row r="432" spans="1:4" x14ac:dyDescent="0.3">
      <c r="A432">
        <v>432</v>
      </c>
      <c r="B432">
        <f t="shared" si="18"/>
        <v>2.2853670005072169</v>
      </c>
      <c r="C432">
        <f t="shared" si="19"/>
        <v>-0.6552931749069496</v>
      </c>
      <c r="D432">
        <f t="shared" si="20"/>
        <v>0.75537464540476196</v>
      </c>
    </row>
    <row r="433" spans="1:4" x14ac:dyDescent="0.3">
      <c r="A433">
        <v>433</v>
      </c>
      <c r="B433">
        <f t="shared" si="18"/>
        <v>2.29795855422902</v>
      </c>
      <c r="C433">
        <f t="shared" si="19"/>
        <v>-0.66475231723294848</v>
      </c>
      <c r="D433">
        <f t="shared" si="20"/>
        <v>0.74706382373491054</v>
      </c>
    </row>
    <row r="434" spans="1:4" x14ac:dyDescent="0.3">
      <c r="A434">
        <v>434</v>
      </c>
      <c r="B434">
        <f t="shared" si="18"/>
        <v>2.3105501079508222</v>
      </c>
      <c r="C434">
        <f t="shared" si="19"/>
        <v>-0.67410606631614611</v>
      </c>
      <c r="D434">
        <f t="shared" si="20"/>
        <v>0.73863455873372974</v>
      </c>
    </row>
    <row r="435" spans="1:4" x14ac:dyDescent="0.3">
      <c r="A435">
        <v>435</v>
      </c>
      <c r="B435">
        <f t="shared" si="18"/>
        <v>2.3231416616726253</v>
      </c>
      <c r="C435">
        <f t="shared" si="19"/>
        <v>-0.68335293916517603</v>
      </c>
      <c r="D435">
        <f t="shared" si="20"/>
        <v>0.73008818682013699</v>
      </c>
    </row>
    <row r="436" spans="1:4" x14ac:dyDescent="0.3">
      <c r="A436">
        <v>436</v>
      </c>
      <c r="B436">
        <f t="shared" si="18"/>
        <v>2.3357332153944284</v>
      </c>
      <c r="C436">
        <f t="shared" si="19"/>
        <v>-0.69249146973337627</v>
      </c>
      <c r="D436">
        <f t="shared" si="20"/>
        <v>0.72142606297978207</v>
      </c>
    </row>
    <row r="437" spans="1:4" x14ac:dyDescent="0.3">
      <c r="A437">
        <v>437</v>
      </c>
      <c r="B437">
        <f t="shared" si="18"/>
        <v>2.3483247691162306</v>
      </c>
      <c r="C437">
        <f t="shared" si="19"/>
        <v>-0.7015202091512257</v>
      </c>
      <c r="D437">
        <f t="shared" si="20"/>
        <v>0.71264956055021922</v>
      </c>
    </row>
    <row r="438" spans="1:4" x14ac:dyDescent="0.3">
      <c r="A438">
        <v>438</v>
      </c>
      <c r="B438">
        <f t="shared" si="18"/>
        <v>2.3609163228380337</v>
      </c>
      <c r="C438">
        <f t="shared" si="19"/>
        <v>-0.7104377259560577</v>
      </c>
      <c r="D438">
        <f t="shared" si="20"/>
        <v>0.70376007100316906</v>
      </c>
    </row>
    <row r="439" spans="1:4" x14ac:dyDescent="0.3">
      <c r="A439">
        <v>439</v>
      </c>
      <c r="B439">
        <f t="shared" si="18"/>
        <v>2.3735078765598367</v>
      </c>
      <c r="C439">
        <f t="shared" si="19"/>
        <v>-0.71924260631900705</v>
      </c>
      <c r="D439">
        <f t="shared" si="20"/>
        <v>0.69475900372391142</v>
      </c>
    </row>
    <row r="440" spans="1:4" x14ac:dyDescent="0.3">
      <c r="A440">
        <v>440</v>
      </c>
      <c r="B440">
        <f t="shared" si="18"/>
        <v>2.386099430281639</v>
      </c>
      <c r="C440">
        <f t="shared" si="19"/>
        <v>-0.72793345426916811</v>
      </c>
      <c r="D440">
        <f t="shared" si="20"/>
        <v>0.68564778578783214</v>
      </c>
    </row>
    <row r="441" spans="1:4" x14ac:dyDescent="0.3">
      <c r="A441">
        <v>441</v>
      </c>
      <c r="B441">
        <f t="shared" si="18"/>
        <v>2.3986909840034421</v>
      </c>
      <c r="C441">
        <f t="shared" si="19"/>
        <v>-0.73650889191492097</v>
      </c>
      <c r="D441">
        <f t="shared" si="20"/>
        <v>0.67642786173416547</v>
      </c>
    </row>
    <row r="442" spans="1:4" x14ac:dyDescent="0.3">
      <c r="A442">
        <v>442</v>
      </c>
      <c r="B442">
        <f t="shared" si="18"/>
        <v>2.4112825377252451</v>
      </c>
      <c r="C442">
        <f t="shared" si="19"/>
        <v>-0.74496755966238526</v>
      </c>
      <c r="D442">
        <f t="shared" si="20"/>
        <v>0.6671006933369733</v>
      </c>
    </row>
    <row r="443" spans="1:4" x14ac:dyDescent="0.3">
      <c r="A443">
        <v>443</v>
      </c>
      <c r="B443">
        <f t="shared" si="18"/>
        <v>2.4238740914470474</v>
      </c>
      <c r="C443">
        <f t="shared" si="19"/>
        <v>-0.75330811643097972</v>
      </c>
      <c r="D443">
        <f t="shared" si="20"/>
        <v>0.65766775937338562</v>
      </c>
    </row>
    <row r="444" spans="1:4" x14ac:dyDescent="0.3">
      <c r="A444">
        <v>444</v>
      </c>
      <c r="B444">
        <f t="shared" si="18"/>
        <v>2.4364656451688504</v>
      </c>
      <c r="C444">
        <f t="shared" si="19"/>
        <v>-0.76152923986604526</v>
      </c>
      <c r="D444">
        <f t="shared" si="20"/>
        <v>0.64813055538914632</v>
      </c>
    </row>
    <row r="445" spans="1:4" x14ac:dyDescent="0.3">
      <c r="A445">
        <v>445</v>
      </c>
      <c r="B445">
        <f t="shared" si="18"/>
        <v>2.4490571988906535</v>
      </c>
      <c r="C445">
        <f t="shared" si="19"/>
        <v>-0.76962962654849454</v>
      </c>
      <c r="D445">
        <f t="shared" si="20"/>
        <v>0.63849059346150505</v>
      </c>
    </row>
    <row r="446" spans="1:4" x14ac:dyDescent="0.3">
      <c r="A446">
        <v>446</v>
      </c>
      <c r="B446">
        <f t="shared" si="18"/>
        <v>2.4616487526124557</v>
      </c>
      <c r="C446">
        <f t="shared" si="19"/>
        <v>-0.77760799220146415</v>
      </c>
      <c r="D446">
        <f t="shared" si="20"/>
        <v>0.62874940195948303</v>
      </c>
    </row>
    <row r="447" spans="1:4" x14ac:dyDescent="0.3">
      <c r="A447">
        <v>447</v>
      </c>
      <c r="B447">
        <f t="shared" si="18"/>
        <v>2.4742403063342588</v>
      </c>
      <c r="C447">
        <f t="shared" si="19"/>
        <v>-0.78546307189393294</v>
      </c>
      <c r="D447">
        <f t="shared" si="20"/>
        <v>0.61890852530155571</v>
      </c>
    </row>
    <row r="448" spans="1:4" x14ac:dyDescent="0.3">
      <c r="A448">
        <v>448</v>
      </c>
      <c r="B448">
        <f t="shared" si="18"/>
        <v>2.4868318600560619</v>
      </c>
      <c r="C448">
        <f t="shared" si="19"/>
        <v>-0.79319362024126616</v>
      </c>
      <c r="D448">
        <f t="shared" si="20"/>
        <v>0.60896952371079627</v>
      </c>
    </row>
    <row r="449" spans="1:4" x14ac:dyDescent="0.3">
      <c r="A449">
        <v>449</v>
      </c>
      <c r="B449">
        <f t="shared" ref="B449:B500" si="21">-3.14159265358979+(A449-1)*0.0125915537218028</f>
        <v>2.4994234137778641</v>
      </c>
      <c r="C449">
        <f t="shared" ref="C449:C500" si="22">1*COS(B449)+0</f>
        <v>-0.80079841160266774</v>
      </c>
      <c r="D449">
        <f t="shared" ref="D449:D500" si="23">1*SIN(B449)+0+0*COS(B449)</f>
        <v>0.59893397296750861</v>
      </c>
    </row>
    <row r="450" spans="1:4" x14ac:dyDescent="0.3">
      <c r="A450">
        <v>450</v>
      </c>
      <c r="B450">
        <f t="shared" si="21"/>
        <v>2.5120149674996672</v>
      </c>
      <c r="C450">
        <f t="shared" si="22"/>
        <v>-0.80827624027550105</v>
      </c>
      <c r="D450">
        <f t="shared" si="23"/>
        <v>0.588803464159392</v>
      </c>
    </row>
    <row r="451" spans="1:4" x14ac:dyDescent="0.3">
      <c r="A451">
        <v>451</v>
      </c>
      <c r="B451">
        <f t="shared" si="21"/>
        <v>2.5246065212214703</v>
      </c>
      <c r="C451">
        <f t="shared" si="22"/>
        <v>-0.81562592068644368</v>
      </c>
      <c r="D451">
        <f t="shared" si="23"/>
        <v>0.57857960342928716</v>
      </c>
    </row>
    <row r="452" spans="1:4" x14ac:dyDescent="0.3">
      <c r="A452">
        <v>452</v>
      </c>
      <c r="B452">
        <f t="shared" si="21"/>
        <v>2.5371980749432725</v>
      </c>
      <c r="C452">
        <f t="shared" si="22"/>
        <v>-0.82284628757945599</v>
      </c>
      <c r="D452">
        <f t="shared" si="23"/>
        <v>0.56826401172052687</v>
      </c>
    </row>
    <row r="453" spans="1:4" x14ac:dyDescent="0.3">
      <c r="A453">
        <v>453</v>
      </c>
      <c r="B453">
        <f t="shared" si="21"/>
        <v>2.5497896286650756</v>
      </c>
      <c r="C453">
        <f t="shared" si="22"/>
        <v>-0.82993619620052894</v>
      </c>
      <c r="D453">
        <f t="shared" si="23"/>
        <v>0.55785832451994222</v>
      </c>
    </row>
    <row r="454" spans="1:4" x14ac:dyDescent="0.3">
      <c r="A454">
        <v>454</v>
      </c>
      <c r="B454">
        <f t="shared" si="21"/>
        <v>2.5623811823868787</v>
      </c>
      <c r="C454">
        <f t="shared" si="22"/>
        <v>-0.83689452247917506</v>
      </c>
      <c r="D454">
        <f t="shared" si="23"/>
        <v>0.54736419159856775</v>
      </c>
    </row>
    <row r="455" spans="1:4" x14ac:dyDescent="0.3">
      <c r="A455">
        <v>455</v>
      </c>
      <c r="B455">
        <f t="shared" si="21"/>
        <v>2.5749727361086809</v>
      </c>
      <c r="C455">
        <f t="shared" si="22"/>
        <v>-0.843720163206647</v>
      </c>
      <c r="D455">
        <f t="shared" si="23"/>
        <v>0.5367832767500762</v>
      </c>
    </row>
    <row r="456" spans="1:4" x14ac:dyDescent="0.3">
      <c r="A456">
        <v>456</v>
      </c>
      <c r="B456">
        <f t="shared" si="21"/>
        <v>2.587564289830484</v>
      </c>
      <c r="C456">
        <f t="shared" si="22"/>
        <v>-0.85041203621084671</v>
      </c>
      <c r="D456">
        <f t="shared" si="23"/>
        <v>0.52611725752699035</v>
      </c>
    </row>
    <row r="457" spans="1:4" x14ac:dyDescent="0.3">
      <c r="A457">
        <v>457</v>
      </c>
      <c r="B457">
        <f t="shared" si="21"/>
        <v>2.6001558435522871</v>
      </c>
      <c r="C457">
        <f t="shared" si="22"/>
        <v>-0.85696908052789589</v>
      </c>
      <c r="D457">
        <f t="shared" si="23"/>
        <v>0.51536782497471911</v>
      </c>
    </row>
    <row r="458" spans="1:4" x14ac:dyDescent="0.3">
      <c r="A458">
        <v>458</v>
      </c>
      <c r="B458">
        <f t="shared" si="21"/>
        <v>2.6127473972740893</v>
      </c>
      <c r="C458">
        <f t="shared" si="22"/>
        <v>-0.86339025657034785</v>
      </c>
      <c r="D458">
        <f t="shared" si="23"/>
        <v>0.50453668336344881</v>
      </c>
    </row>
    <row r="459" spans="1:4" x14ac:dyDescent="0.3">
      <c r="A459">
        <v>459</v>
      </c>
      <c r="B459">
        <f t="shared" si="21"/>
        <v>2.6253389509958924</v>
      </c>
      <c r="C459">
        <f t="shared" si="22"/>
        <v>-0.8696745462920108</v>
      </c>
      <c r="D459">
        <f t="shared" si="23"/>
        <v>0.4936255499179365</v>
      </c>
    </row>
    <row r="460" spans="1:4" x14ac:dyDescent="0.3">
      <c r="A460">
        <v>460</v>
      </c>
      <c r="B460">
        <f t="shared" si="21"/>
        <v>2.6379305047176955</v>
      </c>
      <c r="C460">
        <f t="shared" si="22"/>
        <v>-0.87582095334935095</v>
      </c>
      <c r="D460">
        <f t="shared" si="23"/>
        <v>0.48263615454525777</v>
      </c>
    </row>
    <row r="461" spans="1:4" x14ac:dyDescent="0.3">
      <c r="A461">
        <v>461</v>
      </c>
      <c r="B461">
        <f t="shared" si="21"/>
        <v>2.6505220584394977</v>
      </c>
      <c r="C461">
        <f t="shared" si="22"/>
        <v>-0.88182850325945983</v>
      </c>
      <c r="D461">
        <f t="shared" si="23"/>
        <v>0.47157023956053545</v>
      </c>
    </row>
    <row r="462" spans="1:4" x14ac:dyDescent="0.3">
      <c r="A462">
        <v>462</v>
      </c>
      <c r="B462">
        <f t="shared" si="21"/>
        <v>2.6631136121613008</v>
      </c>
      <c r="C462">
        <f t="shared" si="22"/>
        <v>-0.88769624355455456</v>
      </c>
      <c r="D462">
        <f t="shared" si="23"/>
        <v>0.46042955941070179</v>
      </c>
    </row>
    <row r="463" spans="1:4" x14ac:dyDescent="0.3">
      <c r="A463">
        <v>463</v>
      </c>
      <c r="B463">
        <f t="shared" si="21"/>
        <v>2.6757051658831039</v>
      </c>
      <c r="C463">
        <f t="shared" si="22"/>
        <v>-0.89342324393298445</v>
      </c>
      <c r="D463">
        <f t="shared" si="23"/>
        <v>0.44921588039634452</v>
      </c>
    </row>
    <row r="464" spans="1:4" x14ac:dyDescent="0.3">
      <c r="A464">
        <v>464</v>
      </c>
      <c r="B464">
        <f t="shared" si="21"/>
        <v>2.6882967196049061</v>
      </c>
      <c r="C464">
        <f t="shared" si="22"/>
        <v>-0.8990085964067277</v>
      </c>
      <c r="D464">
        <f t="shared" si="23"/>
        <v>0.43793098039166556</v>
      </c>
    </row>
    <row r="465" spans="1:4" x14ac:dyDescent="0.3">
      <c r="A465">
        <v>465</v>
      </c>
      <c r="B465">
        <f t="shared" si="21"/>
        <v>2.7008882733267092</v>
      </c>
      <c r="C465">
        <f t="shared" si="22"/>
        <v>-0.90445141544534879</v>
      </c>
      <c r="D465">
        <f t="shared" si="23"/>
        <v>0.42657664856260591</v>
      </c>
    </row>
    <row r="466" spans="1:4" x14ac:dyDescent="0.3">
      <c r="A466">
        <v>466</v>
      </c>
      <c r="B466">
        <f t="shared" si="21"/>
        <v>2.7134798270485123</v>
      </c>
      <c r="C466">
        <f t="shared" si="22"/>
        <v>-0.90975083811639346</v>
      </c>
      <c r="D466">
        <f t="shared" si="23"/>
        <v>0.41515468508318643</v>
      </c>
    </row>
    <row r="467" spans="1:4" x14ac:dyDescent="0.3">
      <c r="A467">
        <v>467</v>
      </c>
      <c r="B467">
        <f t="shared" si="21"/>
        <v>2.7260713807703145</v>
      </c>
      <c r="C467">
        <f t="shared" si="22"/>
        <v>-0.91490602422220291</v>
      </c>
      <c r="D467">
        <f t="shared" si="23"/>
        <v>0.40366690085009682</v>
      </c>
    </row>
    <row r="468" spans="1:4" x14ac:dyDescent="0.3">
      <c r="A468">
        <v>468</v>
      </c>
      <c r="B468">
        <f t="shared" si="21"/>
        <v>2.7386629344921176</v>
      </c>
      <c r="C468">
        <f t="shared" si="22"/>
        <v>-0.91991615643312463</v>
      </c>
      <c r="D468">
        <f t="shared" si="23"/>
        <v>0.39211511719558451</v>
      </c>
    </row>
    <row r="469" spans="1:4" x14ac:dyDescent="0.3">
      <c r="A469">
        <v>469</v>
      </c>
      <c r="B469">
        <f t="shared" si="21"/>
        <v>2.7512544882139207</v>
      </c>
      <c r="C469">
        <f t="shared" si="22"/>
        <v>-0.92478044041709373</v>
      </c>
      <c r="D469">
        <f t="shared" si="23"/>
        <v>0.38050116559869573</v>
      </c>
    </row>
    <row r="470" spans="1:4" x14ac:dyDescent="0.3">
      <c r="A470">
        <v>470</v>
      </c>
      <c r="B470">
        <f t="shared" si="21"/>
        <v>2.7638460419357229</v>
      </c>
      <c r="C470">
        <f t="shared" si="22"/>
        <v>-0.92949810496557161</v>
      </c>
      <c r="D470">
        <f t="shared" si="23"/>
        <v>0.36882688739490138</v>
      </c>
    </row>
    <row r="471" spans="1:4" x14ac:dyDescent="0.3">
      <c r="A471">
        <v>471</v>
      </c>
      <c r="B471">
        <f t="shared" si="21"/>
        <v>2.776437595657526</v>
      </c>
      <c r="C471">
        <f t="shared" si="22"/>
        <v>-0.93406840211581788</v>
      </c>
      <c r="D471">
        <f t="shared" si="23"/>
        <v>0.35709413348415964</v>
      </c>
    </row>
    <row r="472" spans="1:4" x14ac:dyDescent="0.3">
      <c r="A472">
        <v>472</v>
      </c>
      <c r="B472">
        <f t="shared" si="21"/>
        <v>2.7890291493793291</v>
      </c>
      <c r="C472">
        <f t="shared" si="22"/>
        <v>-0.93849060726947464</v>
      </c>
      <c r="D472">
        <f t="shared" si="23"/>
        <v>0.34530476403746974</v>
      </c>
    </row>
    <row r="473" spans="1:4" x14ac:dyDescent="0.3">
      <c r="A473">
        <v>473</v>
      </c>
      <c r="B473">
        <f t="shared" si="21"/>
        <v>2.8016207031011313</v>
      </c>
      <c r="C473">
        <f t="shared" si="22"/>
        <v>-0.94276401930744913</v>
      </c>
      <c r="D473">
        <f t="shared" si="23"/>
        <v>0.33346064820194843</v>
      </c>
    </row>
    <row r="474" spans="1:4" x14ac:dyDescent="0.3">
      <c r="A474">
        <v>474</v>
      </c>
      <c r="B474">
        <f t="shared" si="21"/>
        <v>2.8142122568229344</v>
      </c>
      <c r="C474">
        <f t="shared" si="22"/>
        <v>-0.94688796070107328</v>
      </c>
      <c r="D474">
        <f t="shared" si="23"/>
        <v>0.32156366380448331</v>
      </c>
    </row>
    <row r="475" spans="1:4" x14ac:dyDescent="0.3">
      <c r="A475">
        <v>475</v>
      </c>
      <c r="B475">
        <f t="shared" si="21"/>
        <v>2.8268038105447375</v>
      </c>
      <c r="C475">
        <f t="shared" si="22"/>
        <v>-0.95086177761952073</v>
      </c>
      <c r="D475">
        <f t="shared" si="23"/>
        <v>0.30961569705401759</v>
      </c>
    </row>
    <row r="476" spans="1:4" x14ac:dyDescent="0.3">
      <c r="A476">
        <v>476</v>
      </c>
      <c r="B476">
        <f t="shared" si="21"/>
        <v>2.8393953642665397</v>
      </c>
      <c r="C476">
        <f t="shared" si="22"/>
        <v>-0.95468484003346987</v>
      </c>
      <c r="D476">
        <f t="shared" si="23"/>
        <v>0.29761864224249818</v>
      </c>
    </row>
    <row r="477" spans="1:4" x14ac:dyDescent="0.3">
      <c r="A477">
        <v>477</v>
      </c>
      <c r="B477">
        <f t="shared" si="21"/>
        <v>2.8519869179883428</v>
      </c>
      <c r="C477">
        <f t="shared" si="22"/>
        <v>-0.95835654181499241</v>
      </c>
      <c r="D477">
        <f t="shared" si="23"/>
        <v>0.28557440144454255</v>
      </c>
    </row>
    <row r="478" spans="1:4" x14ac:dyDescent="0.3">
      <c r="A478">
        <v>478</v>
      </c>
      <c r="B478">
        <f t="shared" si="21"/>
        <v>2.8645784717101459</v>
      </c>
      <c r="C478">
        <f t="shared" si="22"/>
        <v>-0.96187630083365039</v>
      </c>
      <c r="D478">
        <f t="shared" si="23"/>
        <v>0.27348488421587913</v>
      </c>
    </row>
    <row r="479" spans="1:4" x14ac:dyDescent="0.3">
      <c r="A479">
        <v>479</v>
      </c>
      <c r="B479">
        <f t="shared" si="21"/>
        <v>2.8771700254319481</v>
      </c>
      <c r="C479">
        <f t="shared" si="22"/>
        <v>-0.96524355904879122</v>
      </c>
      <c r="D479">
        <f t="shared" si="23"/>
        <v>0.26135200729059388</v>
      </c>
    </row>
    <row r="480" spans="1:4" x14ac:dyDescent="0.3">
      <c r="A480">
        <v>480</v>
      </c>
      <c r="B480">
        <f t="shared" si="21"/>
        <v>2.8897615791537512</v>
      </c>
      <c r="C480">
        <f t="shared" si="22"/>
        <v>-0.96845778259802262</v>
      </c>
      <c r="D480">
        <f t="shared" si="23"/>
        <v>0.24917769427723904</v>
      </c>
    </row>
    <row r="481" spans="1:4" x14ac:dyDescent="0.3">
      <c r="A481">
        <v>481</v>
      </c>
      <c r="B481">
        <f t="shared" si="21"/>
        <v>2.9023531328755543</v>
      </c>
      <c r="C481">
        <f t="shared" si="22"/>
        <v>-0.97151846188185254</v>
      </c>
      <c r="D481">
        <f t="shared" si="23"/>
        <v>0.23696387535385935</v>
      </c>
    </row>
    <row r="482" spans="1:4" x14ac:dyDescent="0.3">
      <c r="A482">
        <v>482</v>
      </c>
      <c r="B482">
        <f t="shared" si="21"/>
        <v>2.9149446865973565</v>
      </c>
      <c r="C482">
        <f t="shared" si="22"/>
        <v>-0.97442511164448486</v>
      </c>
      <c r="D482">
        <f t="shared" si="23"/>
        <v>0.22471248696196916</v>
      </c>
    </row>
    <row r="483" spans="1:4" x14ac:dyDescent="0.3">
      <c r="A483">
        <v>483</v>
      </c>
      <c r="B483">
        <f t="shared" si="21"/>
        <v>2.9275362403191596</v>
      </c>
      <c r="C483">
        <f t="shared" si="22"/>
        <v>-0.97717727105075436</v>
      </c>
      <c r="D483">
        <f t="shared" si="23"/>
        <v>0.21242547149953661</v>
      </c>
    </row>
    <row r="484" spans="1:4" x14ac:dyDescent="0.3">
      <c r="A484">
        <v>484</v>
      </c>
      <c r="B484">
        <f t="shared" si="21"/>
        <v>2.9401277940409627</v>
      </c>
      <c r="C484">
        <f t="shared" si="22"/>
        <v>-0.97977450375918906</v>
      </c>
      <c r="D484">
        <f t="shared" si="23"/>
        <v>0.20010477701303092</v>
      </c>
    </row>
    <row r="485" spans="1:4" x14ac:dyDescent="0.3">
      <c r="A485">
        <v>485</v>
      </c>
      <c r="B485">
        <f t="shared" si="21"/>
        <v>2.9527193477627649</v>
      </c>
      <c r="C485">
        <f t="shared" si="22"/>
        <v>-0.98221639799119032</v>
      </c>
      <c r="D485">
        <f t="shared" si="23"/>
        <v>0.18775235688856662</v>
      </c>
    </row>
    <row r="486" spans="1:4" x14ac:dyDescent="0.3">
      <c r="A486">
        <v>486</v>
      </c>
      <c r="B486">
        <f t="shared" si="21"/>
        <v>2.965310901484568</v>
      </c>
      <c r="C486">
        <f t="shared" si="22"/>
        <v>-0.98450256659631907</v>
      </c>
      <c r="D486">
        <f t="shared" si="23"/>
        <v>0.17537016954220097</v>
      </c>
    </row>
    <row r="487" spans="1:4" x14ac:dyDescent="0.3">
      <c r="A487">
        <v>487</v>
      </c>
      <c r="B487">
        <f t="shared" si="21"/>
        <v>2.9779024552063711</v>
      </c>
      <c r="C487">
        <f t="shared" si="22"/>
        <v>-0.98663264711367571</v>
      </c>
      <c r="D487">
        <f t="shared" si="23"/>
        <v>0.16296017810944194</v>
      </c>
    </row>
    <row r="488" spans="1:4" x14ac:dyDescent="0.3">
      <c r="A488">
        <v>488</v>
      </c>
      <c r="B488">
        <f t="shared" si="21"/>
        <v>2.9904940089281733</v>
      </c>
      <c r="C488">
        <f t="shared" si="22"/>
        <v>-0.98860630182936671</v>
      </c>
      <c r="D488">
        <f t="shared" si="23"/>
        <v>0.15052435013400009</v>
      </c>
    </row>
    <row r="489" spans="1:4" x14ac:dyDescent="0.3">
      <c r="A489">
        <v>489</v>
      </c>
      <c r="B489">
        <f t="shared" si="21"/>
        <v>3.0030855626499764</v>
      </c>
      <c r="C489">
        <f t="shared" si="22"/>
        <v>-0.99042321783004816</v>
      </c>
      <c r="D489">
        <f t="shared" si="23"/>
        <v>0.13806465725584124</v>
      </c>
    </row>
    <row r="490" spans="1:4" x14ac:dyDescent="0.3">
      <c r="A490">
        <v>490</v>
      </c>
      <c r="B490">
        <f t="shared" si="21"/>
        <v>3.0156771163717795</v>
      </c>
      <c r="C490">
        <f t="shared" si="22"/>
        <v>-0.99208310705253577</v>
      </c>
      <c r="D490">
        <f t="shared" si="23"/>
        <v>0.12558307489859807</v>
      </c>
    </row>
    <row r="491" spans="1:4" x14ac:dyDescent="0.3">
      <c r="A491">
        <v>491</v>
      </c>
      <c r="B491">
        <f t="shared" si="21"/>
        <v>3.0282686700935817</v>
      </c>
      <c r="C491">
        <f t="shared" si="22"/>
        <v>-0.99358570632947618</v>
      </c>
      <c r="D491">
        <f t="shared" si="23"/>
        <v>0.11308158195637352</v>
      </c>
    </row>
    <row r="492" spans="1:4" x14ac:dyDescent="0.3">
      <c r="A492">
        <v>492</v>
      </c>
      <c r="B492">
        <f t="shared" si="21"/>
        <v>3.0408602238153848</v>
      </c>
      <c r="C492">
        <f t="shared" si="22"/>
        <v>-0.99493077743107128</v>
      </c>
      <c r="D492">
        <f t="shared" si="23"/>
        <v>0.10056216047999419</v>
      </c>
    </row>
    <row r="493" spans="1:4" x14ac:dyDescent="0.3">
      <c r="A493">
        <v>493</v>
      </c>
      <c r="B493">
        <f t="shared" si="21"/>
        <v>3.0534517775371879</v>
      </c>
      <c r="C493">
        <f t="shared" si="22"/>
        <v>-0.99611810710284798</v>
      </c>
      <c r="D493">
        <f t="shared" si="23"/>
        <v>8.8026795362771124E-2</v>
      </c>
    </row>
    <row r="494" spans="1:4" x14ac:dyDescent="0.3">
      <c r="A494">
        <v>494</v>
      </c>
      <c r="B494">
        <f t="shared" si="21"/>
        <v>3.0660433312589901</v>
      </c>
      <c r="C494">
        <f t="shared" si="22"/>
        <v>-0.99714750709946842</v>
      </c>
      <c r="D494">
        <f t="shared" si="23"/>
        <v>7.5477474025801961E-2</v>
      </c>
    </row>
    <row r="495" spans="1:4" x14ac:dyDescent="0.3">
      <c r="A495">
        <v>495</v>
      </c>
      <c r="B495">
        <f t="shared" si="21"/>
        <v>3.0786348849807932</v>
      </c>
      <c r="C495">
        <f t="shared" si="22"/>
        <v>-0.99801881421457617</v>
      </c>
      <c r="D495">
        <f t="shared" si="23"/>
        <v>6.2916186102872362E-2</v>
      </c>
    </row>
    <row r="496" spans="1:4" x14ac:dyDescent="0.3">
      <c r="A496">
        <v>496</v>
      </c>
      <c r="B496">
        <f t="shared" si="21"/>
        <v>3.0912264387025963</v>
      </c>
      <c r="C496">
        <f t="shared" si="22"/>
        <v>-0.99873189030667098</v>
      </c>
      <c r="D496">
        <f t="shared" si="23"/>
        <v>5.0344923125014603E-2</v>
      </c>
    </row>
    <row r="497" spans="1:4" x14ac:dyDescent="0.3">
      <c r="A497">
        <v>497</v>
      </c>
      <c r="B497">
        <f t="shared" si="21"/>
        <v>3.1038179924243985</v>
      </c>
      <c r="C497">
        <f t="shared" si="22"/>
        <v>-0.99928662232101095</v>
      </c>
      <c r="D497">
        <f t="shared" si="23"/>
        <v>3.7765678204757333E-2</v>
      </c>
    </row>
    <row r="498" spans="1:4" x14ac:dyDescent="0.3">
      <c r="A498">
        <v>498</v>
      </c>
      <c r="B498">
        <f t="shared" si="21"/>
        <v>3.1164095461462016</v>
      </c>
      <c r="C498">
        <f t="shared" si="22"/>
        <v>-0.99968292230753641</v>
      </c>
      <c r="D498">
        <f t="shared" si="23"/>
        <v>2.5180445720124629E-2</v>
      </c>
    </row>
    <row r="499" spans="1:4" x14ac:dyDescent="0.3">
      <c r="A499">
        <v>499</v>
      </c>
      <c r="B499">
        <f t="shared" si="21"/>
        <v>3.1290010998680047</v>
      </c>
      <c r="C499">
        <f t="shared" si="22"/>
        <v>-0.99992072743481442</v>
      </c>
      <c r="D499">
        <f t="shared" si="23"/>
        <v>1.2591220998442417E-2</v>
      </c>
    </row>
    <row r="500" spans="1:4" x14ac:dyDescent="0.3">
      <c r="A500">
        <v>500</v>
      </c>
      <c r="B500">
        <f t="shared" si="21"/>
        <v>3.1415926535898069</v>
      </c>
      <c r="C500">
        <f t="shared" si="22"/>
        <v>-1</v>
      </c>
      <c r="D500">
        <f t="shared" si="23"/>
        <v>-1.3644250659861079E-14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94052-48A2-47C8-9C4E-572B99C012DE}">
  <sheetPr codeName="XLSTAT_20240328_054226_1_HID"/>
  <dimension ref="A1:B23"/>
  <sheetViews>
    <sheetView workbookViewId="0"/>
  </sheetViews>
  <sheetFormatPr defaultRowHeight="14.4" x14ac:dyDescent="0.3"/>
  <sheetData>
    <row r="1" spans="1:2" x14ac:dyDescent="0.3">
      <c r="A1">
        <v>0.41794227727735717</v>
      </c>
      <c r="B1">
        <v>0.75382505992550441</v>
      </c>
    </row>
    <row r="2" spans="1:2" x14ac:dyDescent="0.3">
      <c r="A2">
        <v>0.85610992865588031</v>
      </c>
      <c r="B2">
        <v>0.31130556261322589</v>
      </c>
    </row>
    <row r="3" spans="1:2" x14ac:dyDescent="0.3">
      <c r="A3">
        <v>4.1939007219502118E-2</v>
      </c>
      <c r="B3">
        <v>0.87899656152161898</v>
      </c>
    </row>
    <row r="4" spans="1:2" x14ac:dyDescent="0.3">
      <c r="A4">
        <v>0.47711483353825546</v>
      </c>
      <c r="B4">
        <v>-0.40012584843507543</v>
      </c>
    </row>
    <row r="5" spans="1:2" x14ac:dyDescent="0.3">
      <c r="A5">
        <v>0.3515650624349172</v>
      </c>
      <c r="B5">
        <v>-0.35760827166250375</v>
      </c>
    </row>
    <row r="6" spans="1:2" x14ac:dyDescent="0.3">
      <c r="A6">
        <v>-0.1449866860035498</v>
      </c>
      <c r="B6">
        <v>-0.25805761437437169</v>
      </c>
    </row>
    <row r="7" spans="1:2" x14ac:dyDescent="0.3">
      <c r="A7">
        <v>0.24121413701513919</v>
      </c>
      <c r="B7">
        <v>0.73247767334733138</v>
      </c>
    </row>
    <row r="8" spans="1:2" x14ac:dyDescent="0.3">
      <c r="A8">
        <v>0.82923333874454297</v>
      </c>
      <c r="B8">
        <v>-0.27179582886309045</v>
      </c>
    </row>
    <row r="9" spans="1:2" x14ac:dyDescent="0.3">
      <c r="A9">
        <v>0.90772947086543043</v>
      </c>
      <c r="B9">
        <v>3.5591883242661173E-4</v>
      </c>
    </row>
    <row r="10" spans="1:2" x14ac:dyDescent="0.3">
      <c r="A10">
        <v>0.48897940335697898</v>
      </c>
      <c r="B10">
        <v>-0.4418469473685398</v>
      </c>
    </row>
    <row r="11" spans="1:2" x14ac:dyDescent="0.3">
      <c r="A11">
        <v>-0.19367979578292044</v>
      </c>
      <c r="B11">
        <v>0.57340083440991019</v>
      </c>
    </row>
    <row r="12" spans="1:2" x14ac:dyDescent="0.3">
      <c r="A12">
        <v>0.67601671246720607</v>
      </c>
      <c r="B12">
        <v>1.9247953122821841E-2</v>
      </c>
    </row>
    <row r="13" spans="1:2" x14ac:dyDescent="0.3">
      <c r="A13">
        <v>0.50041467233522419</v>
      </c>
      <c r="B13">
        <v>-0.3595466440648305</v>
      </c>
    </row>
    <row r="14" spans="1:2" x14ac:dyDescent="0.3">
      <c r="A14">
        <v>0.89779281385889864</v>
      </c>
      <c r="B14">
        <v>-0.19072224591093231</v>
      </c>
    </row>
    <row r="15" spans="1:2" x14ac:dyDescent="0.3">
      <c r="A15">
        <v>0.78521043889832631</v>
      </c>
      <c r="B15">
        <v>-0.43515188144265948</v>
      </c>
    </row>
    <row r="16" spans="1:2" x14ac:dyDescent="0.3">
      <c r="A16">
        <v>0.84034074593847385</v>
      </c>
      <c r="B16">
        <v>0.28185440694312924</v>
      </c>
    </row>
    <row r="17" spans="1:2" x14ac:dyDescent="0.3">
      <c r="A17">
        <v>0.35717984603935327</v>
      </c>
      <c r="B17">
        <v>-0.34698368302898341</v>
      </c>
    </row>
    <row r="18" spans="1:2" x14ac:dyDescent="0.3">
      <c r="A18">
        <v>0.45515603328114806</v>
      </c>
      <c r="B18">
        <v>0.33957814410020098</v>
      </c>
    </row>
    <row r="19" spans="1:2" x14ac:dyDescent="0.3">
      <c r="A19">
        <v>0.91555323395384103</v>
      </c>
      <c r="B19">
        <v>-0.24641694027994748</v>
      </c>
    </row>
    <row r="20" spans="1:2" x14ac:dyDescent="0.3">
      <c r="A20">
        <v>5.1438772833333419E-3</v>
      </c>
      <c r="B20">
        <v>-2.5646839781632885E-2</v>
      </c>
    </row>
    <row r="21" spans="1:2" x14ac:dyDescent="0.3">
      <c r="A21">
        <v>0.88332693583455146</v>
      </c>
      <c r="B21">
        <v>0.213497214201779</v>
      </c>
    </row>
    <row r="22" spans="1:2" x14ac:dyDescent="0.3">
      <c r="A22">
        <v>0.82127286425779022</v>
      </c>
      <c r="B22">
        <v>0.27748141359458378</v>
      </c>
    </row>
    <row r="23" spans="1:2" x14ac:dyDescent="0.3">
      <c r="A23">
        <v>0.84805749550477705</v>
      </c>
      <c r="B23">
        <v>0.30408040090050109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PCA1</vt:lpstr>
      <vt:lpstr>XLSTAT_20240405_134419_1_HID3</vt:lpstr>
      <vt:lpstr>XLSTAT_20240405_134419_1_HID2</vt:lpstr>
      <vt:lpstr>XLSTAT_20240405_134419_1_HID1</vt:lpstr>
      <vt:lpstr>XLSTAT_20240405_134419_1_HID</vt:lpstr>
      <vt:lpstr>Sheet2</vt:lpstr>
      <vt:lpstr>PCA</vt:lpstr>
      <vt:lpstr>XLSTAT_20240328_054226_1_HID3</vt:lpstr>
      <vt:lpstr>XLSTAT_20240328_054226_1_HID2</vt:lpstr>
      <vt:lpstr>XLSTAT_20240328_054226_1_HID1</vt:lpstr>
      <vt:lpstr>XLSTAT_20240328_054226_1_HID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Srinivasan Venugopal</dc:creator>
  <cp:lastModifiedBy>Harshavardan K K</cp:lastModifiedBy>
  <dcterms:created xsi:type="dcterms:W3CDTF">2024-03-28T00:02:21Z</dcterms:created>
  <dcterms:modified xsi:type="dcterms:W3CDTF">2024-04-05T09:23:28Z</dcterms:modified>
</cp:coreProperties>
</file>